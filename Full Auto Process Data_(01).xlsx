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it-dv-sv\CHT\7090\Project\EngineerInj\SUDARAT\"/>
    </mc:Choice>
  </mc:AlternateContent>
  <xr:revisionPtr revIDLastSave="0" documentId="13_ncr:1_{1033EE3A-251C-47CE-833C-1E95D7A8D9AA}" xr6:coauthVersionLast="47" xr6:coauthVersionMax="47" xr10:uidLastSave="{00000000-0000-0000-0000-000000000000}"/>
  <bookViews>
    <workbookView xWindow="-120" yWindow="-120" windowWidth="19440" windowHeight="14880" firstSheet="4" activeTab="7" xr2:uid="{88E137A5-5433-4CB3-8724-584F817FF209}"/>
  </bookViews>
  <sheets>
    <sheet name="Process COND" sheetId="2" r:id="rId1"/>
    <sheet name="Process COND (2)" sheetId="5" r:id="rId2"/>
    <sheet name="Manpower" sheetId="3" r:id="rId3"/>
    <sheet name="Process COND (3)" sheetId="6" r:id="rId4"/>
    <sheet name="Process COND (4)" sheetId="7" r:id="rId5"/>
    <sheet name="Process COND (5)" sheetId="8" r:id="rId6"/>
    <sheet name="Process COND (6)" sheetId="9" r:id="rId7"/>
    <sheet name="Process COND (7)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0" l="1"/>
  <c r="N21" i="10"/>
  <c r="L28" i="8"/>
  <c r="L27" i="9"/>
  <c r="M27" i="9"/>
  <c r="L26" i="9"/>
  <c r="M26" i="9"/>
  <c r="L7" i="8"/>
  <c r="M7" i="8"/>
  <c r="L8" i="8"/>
  <c r="M8" i="8"/>
  <c r="L9" i="8"/>
  <c r="M9" i="8"/>
  <c r="L10" i="8"/>
  <c r="M10" i="8"/>
  <c r="L11" i="8"/>
  <c r="M11" i="8"/>
  <c r="L12" i="8"/>
  <c r="M12" i="8"/>
  <c r="L13" i="8"/>
  <c r="M13" i="8"/>
  <c r="L14" i="8"/>
  <c r="M14" i="8"/>
  <c r="L15" i="8"/>
  <c r="M15" i="8"/>
  <c r="L16" i="8"/>
  <c r="M16" i="8"/>
  <c r="L17" i="8"/>
  <c r="M17" i="8"/>
  <c r="L18" i="8"/>
  <c r="M18" i="8"/>
  <c r="L19" i="8"/>
  <c r="M19" i="8"/>
  <c r="L20" i="8"/>
  <c r="M20" i="8"/>
  <c r="L21" i="8"/>
  <c r="M21" i="8"/>
  <c r="L22" i="8"/>
  <c r="M22" i="8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8" i="9"/>
  <c r="M29" i="9"/>
  <c r="I21" i="10"/>
  <c r="H21" i="10"/>
  <c r="G21" i="10"/>
  <c r="F21" i="10"/>
  <c r="K20" i="10"/>
  <c r="J20" i="10"/>
  <c r="L20" i="10" s="1"/>
  <c r="I20" i="10"/>
  <c r="H20" i="10"/>
  <c r="G20" i="10"/>
  <c r="F20" i="10"/>
  <c r="M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N53" i="9"/>
  <c r="I53" i="9"/>
  <c r="H53" i="9"/>
  <c r="G53" i="9"/>
  <c r="F53" i="9"/>
  <c r="K52" i="9"/>
  <c r="J52" i="9"/>
  <c r="I52" i="9"/>
  <c r="H52" i="9"/>
  <c r="G52" i="9"/>
  <c r="F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I31" i="9"/>
  <c r="H31" i="9"/>
  <c r="G31" i="9"/>
  <c r="F31" i="9"/>
  <c r="K30" i="9"/>
  <c r="J30" i="9"/>
  <c r="I30" i="9"/>
  <c r="H30" i="9"/>
  <c r="G30" i="9"/>
  <c r="F30" i="9"/>
  <c r="L29" i="9"/>
  <c r="L28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M7" i="9"/>
  <c r="L7" i="9"/>
  <c r="N30" i="8"/>
  <c r="I30" i="8"/>
  <c r="H30" i="8"/>
  <c r="G30" i="8"/>
  <c r="F30" i="8"/>
  <c r="K29" i="8"/>
  <c r="J29" i="8"/>
  <c r="I29" i="8"/>
  <c r="H29" i="8"/>
  <c r="G29" i="8"/>
  <c r="F29" i="8"/>
  <c r="M27" i="8"/>
  <c r="L27" i="8"/>
  <c r="M26" i="8"/>
  <c r="L26" i="8"/>
  <c r="I25" i="8"/>
  <c r="H25" i="8"/>
  <c r="G25" i="8"/>
  <c r="F25" i="8"/>
  <c r="K24" i="8"/>
  <c r="J24" i="8"/>
  <c r="I24" i="8"/>
  <c r="H24" i="8"/>
  <c r="G24" i="8"/>
  <c r="F24" i="8"/>
  <c r="M23" i="8"/>
  <c r="L23" i="8"/>
  <c r="M60" i="7"/>
  <c r="N60" i="7"/>
  <c r="J60" i="7"/>
  <c r="J53" i="9" l="1"/>
  <c r="J31" i="9"/>
  <c r="K53" i="9"/>
  <c r="M30" i="8"/>
  <c r="J30" i="8"/>
  <c r="K30" i="8"/>
  <c r="L24" i="8"/>
  <c r="K25" i="8"/>
  <c r="M53" i="9"/>
  <c r="J21" i="10"/>
  <c r="K21" i="10"/>
  <c r="K31" i="9"/>
  <c r="J25" i="8"/>
  <c r="I60" i="7"/>
  <c r="H60" i="7"/>
  <c r="G60" i="7"/>
  <c r="F60" i="7"/>
  <c r="K59" i="7"/>
  <c r="K60" i="7" s="1"/>
  <c r="J59" i="7"/>
  <c r="I59" i="7"/>
  <c r="H59" i="7"/>
  <c r="G59" i="7"/>
  <c r="F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I29" i="7"/>
  <c r="H29" i="7"/>
  <c r="G29" i="7"/>
  <c r="F29" i="7"/>
  <c r="K28" i="7"/>
  <c r="L28" i="7" s="1"/>
  <c r="J28" i="7"/>
  <c r="I28" i="7"/>
  <c r="H28" i="7"/>
  <c r="G28" i="7"/>
  <c r="F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I60" i="6"/>
  <c r="H60" i="6"/>
  <c r="G60" i="6"/>
  <c r="F60" i="6"/>
  <c r="J59" i="6"/>
  <c r="I59" i="6"/>
  <c r="H59" i="6"/>
  <c r="G59" i="6"/>
  <c r="F59" i="6"/>
  <c r="L58" i="6"/>
  <c r="M57" i="6"/>
  <c r="M56" i="6"/>
  <c r="L56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I29" i="6"/>
  <c r="H29" i="6"/>
  <c r="G29" i="6"/>
  <c r="F29" i="6"/>
  <c r="J28" i="6"/>
  <c r="I28" i="6"/>
  <c r="H28" i="6"/>
  <c r="G28" i="6"/>
  <c r="F28" i="6"/>
  <c r="M27" i="6"/>
  <c r="L27" i="6"/>
  <c r="M26" i="6"/>
  <c r="L26" i="6"/>
  <c r="M25" i="6"/>
  <c r="L25" i="6"/>
  <c r="M24" i="6"/>
  <c r="L24" i="6"/>
  <c r="M23" i="6"/>
  <c r="L23" i="6"/>
  <c r="M22" i="6"/>
  <c r="L22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6" i="5"/>
  <c r="S30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2" i="5"/>
  <c r="S23" i="5"/>
  <c r="S24" i="5"/>
  <c r="S25" i="5"/>
  <c r="S26" i="5"/>
  <c r="S27" i="5"/>
  <c r="S7" i="5"/>
  <c r="J29" i="7" l="1"/>
  <c r="K29" i="7"/>
  <c r="M58" i="6"/>
  <c r="K59" i="6"/>
  <c r="K60" i="6" s="1"/>
  <c r="L57" i="6"/>
  <c r="M21" i="6"/>
  <c r="K28" i="6"/>
  <c r="K29" i="6" s="1"/>
  <c r="M55" i="6"/>
  <c r="L55" i="6"/>
  <c r="O60" i="5"/>
  <c r="N60" i="5"/>
  <c r="M60" i="5"/>
  <c r="L60" i="5"/>
  <c r="K60" i="5"/>
  <c r="J60" i="5"/>
  <c r="I60" i="5"/>
  <c r="H60" i="5"/>
  <c r="G60" i="5"/>
  <c r="F60" i="5"/>
  <c r="O59" i="5"/>
  <c r="N59" i="5"/>
  <c r="M59" i="5"/>
  <c r="L59" i="5"/>
  <c r="K59" i="5"/>
  <c r="J59" i="5"/>
  <c r="I59" i="5"/>
  <c r="H59" i="5"/>
  <c r="G59" i="5"/>
  <c r="F59" i="5"/>
  <c r="Q58" i="5"/>
  <c r="S58" i="5" s="1"/>
  <c r="Q57" i="5"/>
  <c r="S57" i="5" s="1"/>
  <c r="Q55" i="5"/>
  <c r="S55" i="5" s="1"/>
  <c r="O29" i="5"/>
  <c r="N29" i="5"/>
  <c r="M29" i="5"/>
  <c r="L29" i="5"/>
  <c r="K29" i="5"/>
  <c r="J29" i="5"/>
  <c r="I29" i="5"/>
  <c r="H29" i="5"/>
  <c r="G29" i="5"/>
  <c r="F29" i="5"/>
  <c r="O28" i="5"/>
  <c r="N28" i="5"/>
  <c r="M28" i="5"/>
  <c r="L28" i="5"/>
  <c r="K28" i="5"/>
  <c r="J28" i="5"/>
  <c r="I28" i="5"/>
  <c r="H28" i="5"/>
  <c r="G28" i="5"/>
  <c r="F28" i="5"/>
  <c r="Q21" i="5"/>
  <c r="S21" i="5" s="1"/>
  <c r="Q30" i="2"/>
  <c r="R30" i="2" s="1"/>
  <c r="Q42" i="2"/>
  <c r="R42" i="2" s="1"/>
  <c r="R58" i="2"/>
  <c r="R57" i="2"/>
  <c r="R56" i="2"/>
  <c r="R55" i="2"/>
  <c r="R41" i="2"/>
  <c r="R35" i="2"/>
  <c r="R34" i="2"/>
  <c r="R28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7" i="2"/>
  <c r="O60" i="2"/>
  <c r="N60" i="2"/>
  <c r="M60" i="2"/>
  <c r="L60" i="2"/>
  <c r="K60" i="2"/>
  <c r="J60" i="2"/>
  <c r="I60" i="2"/>
  <c r="H60" i="2"/>
  <c r="G60" i="2"/>
  <c r="F60" i="2"/>
  <c r="O59" i="2"/>
  <c r="N59" i="2"/>
  <c r="M59" i="2"/>
  <c r="L59" i="2"/>
  <c r="K59" i="2"/>
  <c r="J59" i="2"/>
  <c r="I59" i="2"/>
  <c r="H59" i="2"/>
  <c r="G59" i="2"/>
  <c r="F59" i="2"/>
  <c r="Q58" i="2"/>
  <c r="P58" i="2"/>
  <c r="Q57" i="2"/>
  <c r="P57" i="2"/>
  <c r="Q56" i="2"/>
  <c r="P56" i="2"/>
  <c r="Q55" i="2"/>
  <c r="P55" i="2"/>
  <c r="Q54" i="2"/>
  <c r="P54" i="2"/>
  <c r="R54" i="2" s="1"/>
  <c r="Q53" i="2"/>
  <c r="P53" i="2"/>
  <c r="R53" i="2" s="1"/>
  <c r="Q52" i="2"/>
  <c r="P52" i="2"/>
  <c r="R52" i="2" s="1"/>
  <c r="Q51" i="2"/>
  <c r="P51" i="2"/>
  <c r="R51" i="2" s="1"/>
  <c r="Q50" i="2"/>
  <c r="P50" i="2"/>
  <c r="R50" i="2" s="1"/>
  <c r="Q49" i="2"/>
  <c r="P49" i="2"/>
  <c r="Q48" i="2"/>
  <c r="P48" i="2"/>
  <c r="Q47" i="2"/>
  <c r="P47" i="2"/>
  <c r="R47" i="2" s="1"/>
  <c r="Q46" i="2"/>
  <c r="P46" i="2"/>
  <c r="R46" i="2" s="1"/>
  <c r="Q45" i="2"/>
  <c r="P45" i="2"/>
  <c r="R45" i="2" s="1"/>
  <c r="Q44" i="2"/>
  <c r="P44" i="2"/>
  <c r="R44" i="2" s="1"/>
  <c r="Q43" i="2"/>
  <c r="P43" i="2"/>
  <c r="R43" i="2" s="1"/>
  <c r="P42" i="2"/>
  <c r="Q41" i="2"/>
  <c r="P41" i="2"/>
  <c r="Q40" i="2"/>
  <c r="P40" i="2"/>
  <c r="R40" i="2" s="1"/>
  <c r="Q39" i="2"/>
  <c r="P39" i="2"/>
  <c r="Q38" i="2"/>
  <c r="P38" i="2"/>
  <c r="Q37" i="2"/>
  <c r="P37" i="2"/>
  <c r="R37" i="2" s="1"/>
  <c r="Q36" i="2"/>
  <c r="P36" i="2"/>
  <c r="Q35" i="2"/>
  <c r="P35" i="2"/>
  <c r="Q34" i="2"/>
  <c r="P34" i="2"/>
  <c r="Q33" i="2"/>
  <c r="P33" i="2"/>
  <c r="R33" i="2" s="1"/>
  <c r="Q32" i="2"/>
  <c r="P32" i="2"/>
  <c r="R32" i="2" s="1"/>
  <c r="Q31" i="2"/>
  <c r="P31" i="2"/>
  <c r="P30" i="2"/>
  <c r="O29" i="2"/>
  <c r="N29" i="2"/>
  <c r="M29" i="2"/>
  <c r="L29" i="2"/>
  <c r="K29" i="2"/>
  <c r="J29" i="2"/>
  <c r="I29" i="2"/>
  <c r="H29" i="2"/>
  <c r="G29" i="2"/>
  <c r="F29" i="2"/>
  <c r="O28" i="2"/>
  <c r="N28" i="2"/>
  <c r="M28" i="2"/>
  <c r="L28" i="2"/>
  <c r="K28" i="2"/>
  <c r="J28" i="2"/>
  <c r="I28" i="2"/>
  <c r="H28" i="2"/>
  <c r="G28" i="2"/>
  <c r="F28" i="2"/>
  <c r="Q27" i="2"/>
  <c r="P27" i="2"/>
  <c r="Q26" i="2"/>
  <c r="P26" i="2"/>
  <c r="Q25" i="2"/>
  <c r="P25" i="2"/>
  <c r="Q24" i="2"/>
  <c r="P24" i="2"/>
  <c r="Q23" i="2"/>
  <c r="P23" i="2"/>
  <c r="Q22" i="2"/>
  <c r="P22" i="2"/>
  <c r="Q21" i="2"/>
  <c r="P21" i="2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Q13" i="2"/>
  <c r="P13" i="2"/>
  <c r="Q12" i="2"/>
  <c r="P12" i="2"/>
  <c r="Q11" i="2"/>
  <c r="P11" i="2"/>
  <c r="Q10" i="2"/>
  <c r="P10" i="2"/>
  <c r="Q9" i="2"/>
  <c r="P9" i="2"/>
  <c r="Q8" i="2"/>
  <c r="P8" i="2"/>
  <c r="Q7" i="2"/>
  <c r="Q28" i="2" s="1"/>
  <c r="P7" i="2"/>
  <c r="J29" i="6" l="1"/>
  <c r="J60" i="6"/>
  <c r="L28" i="6"/>
  <c r="R21" i="5"/>
  <c r="R15" i="5"/>
  <c r="R18" i="5"/>
  <c r="R24" i="5"/>
  <c r="R27" i="5"/>
  <c r="R32" i="5"/>
  <c r="R35" i="5"/>
  <c r="R38" i="5"/>
  <c r="R41" i="5"/>
  <c r="R44" i="5"/>
  <c r="R50" i="5"/>
  <c r="R53" i="5"/>
  <c r="R56" i="5"/>
  <c r="R30" i="5"/>
  <c r="R33" i="5"/>
  <c r="R36" i="5"/>
  <c r="R39" i="5"/>
  <c r="R42" i="5"/>
  <c r="R45" i="5"/>
  <c r="R48" i="5"/>
  <c r="R51" i="5"/>
  <c r="R54" i="5"/>
  <c r="R57" i="5"/>
  <c r="R47" i="5"/>
  <c r="R34" i="5"/>
  <c r="R37" i="5"/>
  <c r="R40" i="5"/>
  <c r="R43" i="5"/>
  <c r="R46" i="5"/>
  <c r="R49" i="5"/>
  <c r="R52" i="5"/>
  <c r="R55" i="5"/>
  <c r="R58" i="5"/>
  <c r="Q59" i="5"/>
  <c r="R31" i="5"/>
  <c r="R26" i="5"/>
  <c r="R16" i="5"/>
  <c r="R19" i="5"/>
  <c r="R25" i="5"/>
  <c r="R22" i="5"/>
  <c r="R8" i="5"/>
  <c r="R11" i="5"/>
  <c r="R14" i="5"/>
  <c r="R17" i="5"/>
  <c r="R20" i="5"/>
  <c r="R23" i="5"/>
  <c r="P28" i="5"/>
  <c r="R9" i="5"/>
  <c r="R12" i="5"/>
  <c r="Q28" i="5"/>
  <c r="R10" i="5"/>
  <c r="R13" i="5"/>
  <c r="R7" i="5"/>
  <c r="P59" i="5"/>
  <c r="R49" i="2"/>
  <c r="R38" i="2"/>
  <c r="R39" i="2"/>
  <c r="R36" i="2"/>
  <c r="R48" i="2"/>
  <c r="R31" i="2"/>
  <c r="Q59" i="2"/>
  <c r="P59" i="2"/>
  <c r="P28" i="2"/>
  <c r="P29" i="2" s="1"/>
  <c r="P60" i="5" l="1"/>
  <c r="Q60" i="5"/>
  <c r="Q29" i="5"/>
  <c r="P29" i="5"/>
  <c r="R28" i="5"/>
  <c r="P60" i="2"/>
  <c r="Q60" i="2"/>
  <c r="Q29" i="2"/>
</calcChain>
</file>

<file path=xl/sharedStrings.xml><?xml version="1.0" encoding="utf-8"?>
<sst xmlns="http://schemas.openxmlformats.org/spreadsheetml/2006/main" count="1284" uniqueCount="162">
  <si>
    <t>No.</t>
  </si>
  <si>
    <t>Part No.</t>
  </si>
  <si>
    <t>Work Process</t>
  </si>
  <si>
    <t>Finishing</t>
  </si>
  <si>
    <t>Packing</t>
  </si>
  <si>
    <t>Checking</t>
  </si>
  <si>
    <t>Cut Bari</t>
  </si>
  <si>
    <t>PAD</t>
  </si>
  <si>
    <t>BOX</t>
  </si>
  <si>
    <t>Rack</t>
  </si>
  <si>
    <t>FE3-7438-000</t>
  </si>
  <si>
    <t xml:space="preserve">O </t>
  </si>
  <si>
    <t>X</t>
  </si>
  <si>
    <t>-</t>
  </si>
  <si>
    <t>QD1-2374-000</t>
  </si>
  <si>
    <t>QC7-5940-000</t>
  </si>
  <si>
    <t>QC8-2613-000</t>
  </si>
  <si>
    <t>QD1-2375-000</t>
  </si>
  <si>
    <t>QC7-5951-000</t>
  </si>
  <si>
    <t>QC8-2614-000</t>
  </si>
  <si>
    <t>QC5-2640-000</t>
  </si>
  <si>
    <t>QC8-5521-000</t>
  </si>
  <si>
    <t>O</t>
  </si>
  <si>
    <t>QM4-4536-000</t>
  </si>
  <si>
    <t>QC5-2678-000</t>
  </si>
  <si>
    <t>QC8-5533-000</t>
  </si>
  <si>
    <t>QC5-6187-000</t>
  </si>
  <si>
    <t>QC9-1451-000</t>
  </si>
  <si>
    <t>QC4-7500-000</t>
  </si>
  <si>
    <t>QC4-7542-000</t>
  </si>
  <si>
    <t>QC5-6174-000</t>
  </si>
  <si>
    <t>QL3-1513-000</t>
  </si>
  <si>
    <t>QC6-6991-000</t>
  </si>
  <si>
    <t>FE3-6799-000</t>
  </si>
  <si>
    <t>FE2-P911-000</t>
  </si>
  <si>
    <t>Total</t>
  </si>
  <si>
    <t>Automation</t>
  </si>
  <si>
    <t>Man</t>
  </si>
  <si>
    <t>MC No.</t>
  </si>
  <si>
    <t>1001T</t>
  </si>
  <si>
    <r>
      <t>2</t>
    </r>
    <r>
      <rPr>
        <b/>
        <vertAlign val="superscript"/>
        <sz val="10"/>
        <color rgb="FF000000"/>
        <rFont val="Tahoma"/>
        <family val="2"/>
      </rPr>
      <t>nd</t>
    </r>
    <r>
      <rPr>
        <b/>
        <sz val="10"/>
        <color rgb="FF000000"/>
        <rFont val="Tahoma"/>
        <family val="2"/>
      </rPr>
      <t xml:space="preserve"> Process</t>
    </r>
  </si>
  <si>
    <t>ASSY
Rubber Foot</t>
  </si>
  <si>
    <t>ASSY
Drain Sheet</t>
  </si>
  <si>
    <t>Box 
(มีถุงด้านใน)</t>
  </si>
  <si>
    <t>Appearance 
check 100%</t>
  </si>
  <si>
    <t>Wipe off
oil stains</t>
  </si>
  <si>
    <t>Cutting 
gate</t>
  </si>
  <si>
    <t>QC8-1271-000</t>
  </si>
  <si>
    <t>QC8-1270-000</t>
  </si>
  <si>
    <t>FE2-M001-000</t>
  </si>
  <si>
    <t>FE2-M002-000</t>
  </si>
  <si>
    <t>FL1-H130-000</t>
  </si>
  <si>
    <t>FE3-K645-000</t>
  </si>
  <si>
    <t>FE3-L985-000</t>
  </si>
  <si>
    <t>FE2-L238-000</t>
  </si>
  <si>
    <t>FE2-L230-000</t>
  </si>
  <si>
    <t>FL1-A133-000</t>
  </si>
  <si>
    <t>QC8-4391-000</t>
  </si>
  <si>
    <t>QC8-1084-000</t>
  </si>
  <si>
    <t>QC8-4393-000</t>
  </si>
  <si>
    <t>QC8-1086-000</t>
  </si>
  <si>
    <t>QC8-1152-000</t>
  </si>
  <si>
    <t>QC8-1153-000</t>
  </si>
  <si>
    <t>Qc8-1080-000</t>
  </si>
  <si>
    <t>Qc7-5886-000</t>
  </si>
  <si>
    <t>QC5-9300-000</t>
  </si>
  <si>
    <t>QC4-9447-000</t>
  </si>
  <si>
    <t>QC8-1089-000</t>
  </si>
  <si>
    <t>QC8-1090-000</t>
  </si>
  <si>
    <t>QC5-9296-000</t>
  </si>
  <si>
    <t>QC5-5891-000</t>
  </si>
  <si>
    <t>QC5-9299-000</t>
  </si>
  <si>
    <t>QC7-5885-000</t>
  </si>
  <si>
    <t>1002T</t>
  </si>
  <si>
    <t>Process Condition of 1001T , 1002T</t>
  </si>
  <si>
    <t>Perform
AUTO</t>
  </si>
  <si>
    <t>L</t>
  </si>
  <si>
    <t>Process Time of 1001T , 1002T</t>
  </si>
  <si>
    <t>Unit:sec</t>
  </si>
  <si>
    <t>CT.</t>
  </si>
  <si>
    <t>Appearance</t>
  </si>
  <si>
    <t>Appearance/Oil</t>
  </si>
  <si>
    <t>QC8-1080-000</t>
  </si>
  <si>
    <t xml:space="preserve">Process Time of 61,62,63,64,68J </t>
  </si>
  <si>
    <t>61J</t>
  </si>
  <si>
    <t>62J</t>
  </si>
  <si>
    <t>63J</t>
  </si>
  <si>
    <t>64J</t>
  </si>
  <si>
    <t>68J</t>
  </si>
  <si>
    <t>QC4-8222-000</t>
  </si>
  <si>
    <t>QC4-8757-000</t>
  </si>
  <si>
    <t>QC8-1081-000</t>
  </si>
  <si>
    <t>QC8-1065-000</t>
  </si>
  <si>
    <t>QC8-9389-000</t>
  </si>
  <si>
    <t>QC9-1549-000</t>
  </si>
  <si>
    <t>QC9-1548-000</t>
  </si>
  <si>
    <t>QC5-6171-000</t>
  </si>
  <si>
    <t>FE2-L789-000</t>
  </si>
  <si>
    <t>FE2-L016-000</t>
  </si>
  <si>
    <t>FC0-9900-000</t>
  </si>
  <si>
    <t>FC0-9901-000</t>
  </si>
  <si>
    <t>FC0-9902-000</t>
  </si>
  <si>
    <t>4A8-4245-000</t>
  </si>
  <si>
    <t>4F8-1730-000</t>
  </si>
  <si>
    <t>4A8-4197-000</t>
  </si>
  <si>
    <t>QL2-7189-000</t>
  </si>
  <si>
    <t>QC5-9370-000</t>
  </si>
  <si>
    <t>QC5-9297-000</t>
  </si>
  <si>
    <t>QC5-9298-000</t>
  </si>
  <si>
    <t>QD1-2306-000</t>
  </si>
  <si>
    <t>QC7-3734-000</t>
  </si>
  <si>
    <t>QC7-3745-000</t>
  </si>
  <si>
    <t>QC7-2552-000</t>
  </si>
  <si>
    <t>QC7-2553-000</t>
  </si>
  <si>
    <t>QC5-6173-000</t>
  </si>
  <si>
    <t>QC4-8674-000</t>
  </si>
  <si>
    <t>QC4-8675-000</t>
  </si>
  <si>
    <t>QC4-8670-000</t>
  </si>
  <si>
    <t>QC4-8683-000</t>
  </si>
  <si>
    <t>QC4-8684-000</t>
  </si>
  <si>
    <t>QC9-1450-000</t>
  </si>
  <si>
    <t>QC9-1452-000</t>
  </si>
  <si>
    <t>QD1-2323-000</t>
  </si>
  <si>
    <t>QD1-2307-000</t>
  </si>
  <si>
    <t>QD1-1818-000</t>
  </si>
  <si>
    <t>QC5-3388-000</t>
  </si>
  <si>
    <t>QC4-8462-000</t>
  </si>
  <si>
    <t>QC8-2586-000</t>
  </si>
  <si>
    <t>QC8-2576-000</t>
  </si>
  <si>
    <t>QC8-5536-000</t>
  </si>
  <si>
    <t>QL2-7182-000</t>
  </si>
  <si>
    <t>QL2-6943-000</t>
  </si>
  <si>
    <t>QM4-3642-000</t>
  </si>
  <si>
    <t>QM4-3655-000</t>
  </si>
  <si>
    <t>QD1-2349-000</t>
  </si>
  <si>
    <t>QC8-2587-000</t>
  </si>
  <si>
    <t>QC8-1145-000</t>
  </si>
  <si>
    <t>QC8-1147-000</t>
  </si>
  <si>
    <t>QC5-9959-000</t>
  </si>
  <si>
    <t>QC5-9960-000</t>
  </si>
  <si>
    <t>QC8-5529-000</t>
  </si>
  <si>
    <t>QC8-5528-000</t>
  </si>
  <si>
    <t>QC8-5542-000</t>
  </si>
  <si>
    <t>QD1-2353-000</t>
  </si>
  <si>
    <t>QC8-2584-000</t>
  </si>
  <si>
    <t>QD1-2045-000</t>
  </si>
  <si>
    <t>QD1-2047-000</t>
  </si>
  <si>
    <t>QC5-6210-000</t>
  </si>
  <si>
    <t>QD1-2317-000</t>
  </si>
  <si>
    <t>QC8-2550-000</t>
  </si>
  <si>
    <t>QC8-2607-000</t>
  </si>
  <si>
    <t>4C5-0255-000</t>
  </si>
  <si>
    <t>4C5-0528-000</t>
  </si>
  <si>
    <t>QC8-9380-000</t>
  </si>
  <si>
    <t>FL1-H626-000</t>
  </si>
  <si>
    <t>QC8-0999-000</t>
  </si>
  <si>
    <t>QC8-1001-000</t>
  </si>
  <si>
    <t>QC5-9416-000</t>
  </si>
  <si>
    <t>QC8-1260-000</t>
  </si>
  <si>
    <t>QC8-1164-000</t>
  </si>
  <si>
    <t>QC8-1161-000</t>
  </si>
  <si>
    <t>QC8-2287-000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</si>
</sst>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70C0"/>
      <name val="Berlin Sans FB Demi"/>
    </font>
    <font>
      <sz val="10"/>
      <color rgb="FFFF0000"/>
      <name val="Berlin Sans FB Demi"/>
    </font>
    <font>
      <sz val="10"/>
      <color rgb="FF000000"/>
      <name val="Berlin Sans FB Demi"/>
    </font>
    <font>
      <b/>
      <sz val="10"/>
      <color rgb="FF000000"/>
      <name val="Berlin Sans FB Demi"/>
    </font>
    <font>
      <sz val="10"/>
      <color rgb="FF0070C0"/>
      <name val="Berlin Sans FB Demi"/>
      <family val="2"/>
    </font>
    <font>
      <sz val="10"/>
      <color rgb="FFFF0000"/>
      <name val="Berlin Sans FB Demi"/>
      <family val="2"/>
    </font>
    <font>
      <b/>
      <sz val="10"/>
      <color rgb="FF000000"/>
      <name val="Tahoma"/>
      <family val="2"/>
    </font>
    <font>
      <b/>
      <vertAlign val="superscript"/>
      <sz val="10"/>
      <color rgb="FF000000"/>
      <name val="Tahoma"/>
      <family val="2"/>
    </font>
    <font>
      <b/>
      <sz val="11"/>
      <color theme="1"/>
      <name val="Tahoma"/>
      <family val="2"/>
    </font>
    <font>
      <sz val="10"/>
      <color rgb="FF000000"/>
      <name val="Tahoma"/>
      <family val="2"/>
    </font>
    <font>
      <sz val="9"/>
      <color rgb="FF000000"/>
      <name val="Tahoma"/>
      <family val="2"/>
    </font>
    <font>
      <sz val="11"/>
      <color theme="1"/>
      <name val="Tahoma"/>
      <family val="2"/>
    </font>
    <font>
      <b/>
      <sz val="20"/>
      <color theme="1"/>
      <name val="Tahoma"/>
      <family val="2"/>
    </font>
    <font>
      <sz val="10"/>
      <color theme="1"/>
      <name val="Tahoma"/>
      <family val="2"/>
    </font>
    <font>
      <b/>
      <sz val="14"/>
      <color theme="1"/>
      <name val="Tahoma"/>
      <family val="2"/>
    </font>
    <font>
      <sz val="10"/>
      <color rgb="FFFF0000"/>
      <name val="Tahoma"/>
      <family val="2"/>
    </font>
    <font>
      <sz val="10"/>
      <color rgb="FFFF0000"/>
      <name val="Wingdings"/>
      <charset val="2"/>
    </font>
    <font>
      <sz val="1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1">
    <xf numFmtId="0" fontId="0" fillId="0" borderId="0" xfId="0"/>
    <xf numFmtId="0" fontId="0" fillId="0" borderId="0" xfId="0" applyAlignment="1"/>
    <xf numFmtId="0" fontId="6" fillId="4" borderId="1" xfId="0" applyFont="1" applyFill="1" applyBorder="1" applyAlignment="1">
      <alignment horizontal="center" vertical="center" readingOrder="1"/>
    </xf>
    <xf numFmtId="0" fontId="5" fillId="3" borderId="1" xfId="0" applyFont="1" applyFill="1" applyBorder="1" applyAlignment="1">
      <alignment horizontal="center" vertical="center" readingOrder="1"/>
    </xf>
    <xf numFmtId="0" fontId="3" fillId="5" borderId="1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center" vertical="center" readingOrder="1"/>
    </xf>
    <xf numFmtId="0" fontId="2" fillId="4" borderId="2" xfId="0" applyFont="1" applyFill="1" applyBorder="1" applyAlignment="1">
      <alignment horizontal="center" vertical="center" readingOrder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8" fillId="2" borderId="2" xfId="0" applyFont="1" applyFill="1" applyBorder="1" applyAlignment="1">
      <alignment horizontal="center" vertical="center" readingOrder="1"/>
    </xf>
    <xf numFmtId="0" fontId="6" fillId="4" borderId="19" xfId="0" applyFont="1" applyFill="1" applyBorder="1" applyAlignment="1">
      <alignment horizontal="center" vertical="center" readingOrder="1"/>
    </xf>
    <xf numFmtId="0" fontId="7" fillId="5" borderId="19" xfId="0" applyFont="1" applyFill="1" applyBorder="1" applyAlignment="1">
      <alignment horizontal="center" vertical="center" readingOrder="1"/>
    </xf>
    <xf numFmtId="0" fontId="4" fillId="3" borderId="19" xfId="0" applyFont="1" applyFill="1" applyBorder="1" applyAlignment="1">
      <alignment horizontal="center" vertical="center" readingOrder="1"/>
    </xf>
    <xf numFmtId="0" fontId="5" fillId="3" borderId="19" xfId="0" applyFont="1" applyFill="1" applyBorder="1" applyAlignment="1">
      <alignment horizontal="center" vertical="center" readingOrder="1"/>
    </xf>
    <xf numFmtId="0" fontId="3" fillId="5" borderId="19" xfId="0" applyFont="1" applyFill="1" applyBorder="1" applyAlignment="1">
      <alignment horizontal="center" vertical="center" readingOrder="1"/>
    </xf>
    <xf numFmtId="0" fontId="2" fillId="4" borderId="20" xfId="0" applyFont="1" applyFill="1" applyBorder="1" applyAlignment="1">
      <alignment horizontal="center" vertical="center" readingOrder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2" fillId="2" borderId="24" xfId="0" applyFont="1" applyFill="1" applyBorder="1" applyAlignment="1">
      <alignment horizontal="center" vertical="center" wrapText="1" readingOrder="1"/>
    </xf>
    <xf numFmtId="0" fontId="2" fillId="4" borderId="23" xfId="0" applyFont="1" applyFill="1" applyBorder="1" applyAlignment="1">
      <alignment horizontal="center" vertical="center" readingOrder="1"/>
    </xf>
    <xf numFmtId="0" fontId="5" fillId="3" borderId="23" xfId="0" applyFont="1" applyFill="1" applyBorder="1" applyAlignment="1">
      <alignment horizontal="center" vertical="center" readingOrder="1"/>
    </xf>
    <xf numFmtId="0" fontId="3" fillId="5" borderId="23" xfId="0" applyFont="1" applyFill="1" applyBorder="1" applyAlignment="1">
      <alignment horizontal="center" vertical="center" readingOrder="1"/>
    </xf>
    <xf numFmtId="0" fontId="2" fillId="4" borderId="24" xfId="0" applyFont="1" applyFill="1" applyBorder="1" applyAlignment="1">
      <alignment horizontal="center" vertical="center" readingOrder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4" borderId="23" xfId="0" applyFont="1" applyFill="1" applyBorder="1" applyAlignment="1">
      <alignment horizontal="center" vertical="center" readingOrder="1"/>
    </xf>
    <xf numFmtId="0" fontId="13" fillId="0" borderId="0" xfId="0" applyFont="1"/>
    <xf numFmtId="0" fontId="14" fillId="0" borderId="0" xfId="0" applyFont="1" applyAlignment="1"/>
    <xf numFmtId="0" fontId="11" fillId="0" borderId="19" xfId="0" applyFont="1" applyBorder="1" applyAlignment="1">
      <alignment horizontal="center" vertical="center" readingOrder="1"/>
    </xf>
    <xf numFmtId="0" fontId="11" fillId="0" borderId="1" xfId="0" applyFont="1" applyBorder="1" applyAlignment="1">
      <alignment horizontal="center" vertical="center" readingOrder="1"/>
    </xf>
    <xf numFmtId="0" fontId="11" fillId="0" borderId="23" xfId="0" applyFont="1" applyBorder="1" applyAlignment="1">
      <alignment horizontal="center" vertical="center" readingOrder="1"/>
    </xf>
    <xf numFmtId="0" fontId="11" fillId="0" borderId="3" xfId="0" applyFont="1" applyBorder="1" applyAlignment="1">
      <alignment horizontal="center" vertical="center" wrapText="1" readingOrder="1"/>
    </xf>
    <xf numFmtId="0" fontId="11" fillId="0" borderId="19" xfId="0" applyFont="1" applyBorder="1" applyAlignment="1">
      <alignment horizontal="center" vertical="center" wrapText="1" readingOrder="1"/>
    </xf>
    <xf numFmtId="0" fontId="11" fillId="0" borderId="5" xfId="0" applyFont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 wrapText="1" readingOrder="1"/>
    </xf>
    <xf numFmtId="0" fontId="11" fillId="0" borderId="9" xfId="0" applyFont="1" applyBorder="1" applyAlignment="1">
      <alignment horizontal="center" vertical="center" wrapText="1" readingOrder="1"/>
    </xf>
    <xf numFmtId="0" fontId="11" fillId="0" borderId="23" xfId="0" applyFont="1" applyBorder="1" applyAlignment="1">
      <alignment horizontal="center" vertical="center" wrapText="1" readingOrder="1"/>
    </xf>
    <xf numFmtId="0" fontId="11" fillId="0" borderId="3" xfId="0" applyFont="1" applyBorder="1" applyAlignment="1">
      <alignment horizontal="center" vertical="center" readingOrder="1"/>
    </xf>
    <xf numFmtId="0" fontId="11" fillId="0" borderId="5" xfId="0" applyFont="1" applyBorder="1" applyAlignment="1">
      <alignment horizontal="center" vertical="center" readingOrder="1"/>
    </xf>
    <xf numFmtId="0" fontId="11" fillId="0" borderId="9" xfId="0" applyFont="1" applyBorder="1" applyAlignment="1">
      <alignment horizontal="center" vertical="center" readingOrder="1"/>
    </xf>
    <xf numFmtId="0" fontId="8" fillId="6" borderId="13" xfId="0" applyFont="1" applyFill="1" applyBorder="1" applyAlignment="1">
      <alignment horizontal="center" vertical="center" readingOrder="1"/>
    </xf>
    <xf numFmtId="0" fontId="8" fillId="6" borderId="8" xfId="0" applyFont="1" applyFill="1" applyBorder="1" applyAlignment="1">
      <alignment horizontal="center" vertical="center" readingOrder="1"/>
    </xf>
    <xf numFmtId="0" fontId="8" fillId="6" borderId="23" xfId="0" applyFont="1" applyFill="1" applyBorder="1" applyAlignment="1">
      <alignment horizontal="center" vertical="center" readingOrder="1"/>
    </xf>
    <xf numFmtId="0" fontId="8" fillId="6" borderId="24" xfId="0" applyFont="1" applyFill="1" applyBorder="1" applyAlignment="1">
      <alignment horizontal="center" vertical="center" readingOrder="1"/>
    </xf>
    <xf numFmtId="9" fontId="8" fillId="0" borderId="9" xfId="1" applyFont="1" applyFill="1" applyBorder="1" applyAlignment="1">
      <alignment horizontal="center" vertical="center" readingOrder="1"/>
    </xf>
    <xf numFmtId="9" fontId="8" fillId="0" borderId="10" xfId="1" applyFont="1" applyFill="1" applyBorder="1" applyAlignment="1">
      <alignment horizontal="center" vertical="center" readingOrder="1"/>
    </xf>
    <xf numFmtId="9" fontId="8" fillId="6" borderId="9" xfId="1" applyFont="1" applyFill="1" applyBorder="1" applyAlignment="1">
      <alignment horizontal="center" vertical="center" readingOrder="1"/>
    </xf>
    <xf numFmtId="9" fontId="8" fillId="6" borderId="10" xfId="1" applyFont="1" applyFill="1" applyBorder="1" applyAlignment="1">
      <alignment horizontal="center" vertical="center" readingOrder="1"/>
    </xf>
    <xf numFmtId="0" fontId="15" fillId="0" borderId="18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6" borderId="18" xfId="0" applyFont="1" applyFill="1" applyBorder="1" applyAlignment="1">
      <alignment horizontal="center"/>
    </xf>
    <xf numFmtId="0" fontId="15" fillId="6" borderId="15" xfId="0" applyFont="1" applyFill="1" applyBorder="1" applyAlignment="1">
      <alignment horizontal="center"/>
    </xf>
    <xf numFmtId="0" fontId="11" fillId="0" borderId="28" xfId="0" applyFont="1" applyBorder="1" applyAlignment="1">
      <alignment horizontal="center" vertical="center" wrapText="1" readingOrder="1"/>
    </xf>
    <xf numFmtId="0" fontId="11" fillId="0" borderId="16" xfId="0" applyFont="1" applyBorder="1" applyAlignment="1">
      <alignment horizontal="center" vertical="center" wrapText="1" readingOrder="1"/>
    </xf>
    <xf numFmtId="0" fontId="11" fillId="0" borderId="17" xfId="0" applyFont="1" applyBorder="1" applyAlignment="1">
      <alignment horizontal="center" vertical="center" wrapText="1" readingOrder="1"/>
    </xf>
    <xf numFmtId="0" fontId="12" fillId="2" borderId="23" xfId="0" applyFont="1" applyFill="1" applyBorder="1" applyAlignment="1">
      <alignment horizontal="center" vertical="top" wrapText="1" readingOrder="1"/>
    </xf>
    <xf numFmtId="0" fontId="12" fillId="2" borderId="23" xfId="0" applyFont="1" applyFill="1" applyBorder="1" applyAlignment="1">
      <alignment horizontal="center" vertical="top" readingOrder="1"/>
    </xf>
    <xf numFmtId="0" fontId="0" fillId="0" borderId="0" xfId="0" applyAlignment="1">
      <alignment wrapText="1"/>
    </xf>
    <xf numFmtId="9" fontId="0" fillId="0" borderId="0" xfId="1" applyFont="1"/>
    <xf numFmtId="0" fontId="17" fillId="0" borderId="28" xfId="0" applyFont="1" applyBorder="1" applyAlignment="1">
      <alignment horizontal="center" vertical="center" readingOrder="1"/>
    </xf>
    <xf numFmtId="0" fontId="17" fillId="0" borderId="16" xfId="0" applyFont="1" applyBorder="1" applyAlignment="1">
      <alignment horizontal="center" vertical="center" readingOrder="1"/>
    </xf>
    <xf numFmtId="0" fontId="17" fillId="0" borderId="17" xfId="0" applyFont="1" applyBorder="1" applyAlignment="1">
      <alignment horizontal="center" vertical="center" readingOrder="1"/>
    </xf>
    <xf numFmtId="0" fontId="18" fillId="0" borderId="16" xfId="0" applyFont="1" applyBorder="1" applyAlignment="1">
      <alignment horizontal="center" vertical="center" readingOrder="1"/>
    </xf>
    <xf numFmtId="0" fontId="3" fillId="5" borderId="1" xfId="0" applyFont="1" applyFill="1" applyBorder="1" applyAlignment="1">
      <alignment horizontal="center" vertical="center" readingOrder="1"/>
    </xf>
    <xf numFmtId="0" fontId="3" fillId="5" borderId="12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center" vertical="center" readingOrder="1"/>
    </xf>
    <xf numFmtId="0" fontId="8" fillId="6" borderId="13" xfId="0" applyFont="1" applyFill="1" applyBorder="1" applyAlignment="1">
      <alignment horizontal="center" vertical="center" readingOrder="1"/>
    </xf>
    <xf numFmtId="0" fontId="8" fillId="6" borderId="23" xfId="0" applyFont="1" applyFill="1" applyBorder="1" applyAlignment="1">
      <alignment horizontal="center" vertical="center" readingOrder="1"/>
    </xf>
    <xf numFmtId="0" fontId="5" fillId="3" borderId="1" xfId="0" applyFont="1" applyFill="1" applyBorder="1" applyAlignment="1">
      <alignment horizontal="center" vertical="center" readingOrder="1"/>
    </xf>
    <xf numFmtId="0" fontId="3" fillId="5" borderId="1" xfId="0" applyFont="1" applyFill="1" applyBorder="1" applyAlignment="1">
      <alignment horizontal="center" vertical="center" readingOrder="1"/>
    </xf>
    <xf numFmtId="0" fontId="2" fillId="4" borderId="2" xfId="0" applyFont="1" applyFill="1" applyBorder="1" applyAlignment="1">
      <alignment horizontal="center" vertical="center" readingOrder="1"/>
    </xf>
    <xf numFmtId="0" fontId="7" fillId="5" borderId="32" xfId="0" applyFont="1" applyFill="1" applyBorder="1" applyAlignment="1">
      <alignment horizontal="center" vertical="center" readingOrder="1"/>
    </xf>
    <xf numFmtId="0" fontId="5" fillId="3" borderId="32" xfId="0" applyFont="1" applyFill="1" applyBorder="1" applyAlignment="1">
      <alignment horizontal="center" vertical="center" readingOrder="1"/>
    </xf>
    <xf numFmtId="0" fontId="7" fillId="5" borderId="1" xfId="0" applyFont="1" applyFill="1" applyBorder="1" applyAlignment="1">
      <alignment horizontal="center" vertical="center" readingOrder="1"/>
    </xf>
    <xf numFmtId="0" fontId="11" fillId="0" borderId="28" xfId="0" applyFont="1" applyBorder="1" applyAlignment="1">
      <alignment horizontal="center" vertical="center" readingOrder="1"/>
    </xf>
    <xf numFmtId="0" fontId="11" fillId="0" borderId="16" xfId="0" applyFont="1" applyBorder="1" applyAlignment="1">
      <alignment horizontal="center" vertical="center" readingOrder="1"/>
    </xf>
    <xf numFmtId="0" fontId="11" fillId="0" borderId="17" xfId="0" applyFont="1" applyBorder="1" applyAlignment="1">
      <alignment horizontal="center" vertical="center" readingOrder="1"/>
    </xf>
    <xf numFmtId="0" fontId="17" fillId="0" borderId="20" xfId="0" applyFont="1" applyBorder="1" applyAlignment="1">
      <alignment horizontal="center" vertical="center" readingOrder="1"/>
    </xf>
    <xf numFmtId="0" fontId="18" fillId="0" borderId="2" xfId="0" applyFont="1" applyBorder="1" applyAlignment="1">
      <alignment horizontal="center" vertical="center" readingOrder="1"/>
    </xf>
    <xf numFmtId="0" fontId="17" fillId="0" borderId="2" xfId="0" applyFont="1" applyBorder="1" applyAlignment="1">
      <alignment horizontal="center" vertical="center" readingOrder="1"/>
    </xf>
    <xf numFmtId="0" fontId="17" fillId="0" borderId="24" xfId="0" applyFont="1" applyBorder="1" applyAlignment="1">
      <alignment horizontal="center" vertical="center" readingOrder="1"/>
    </xf>
    <xf numFmtId="0" fontId="11" fillId="0" borderId="20" xfId="0" applyFont="1" applyBorder="1" applyAlignment="1">
      <alignment horizontal="center" vertical="center" wrapText="1" readingOrder="1"/>
    </xf>
    <xf numFmtId="0" fontId="11" fillId="0" borderId="2" xfId="0" applyFont="1" applyBorder="1" applyAlignment="1">
      <alignment horizontal="center" vertical="center" wrapText="1" readingOrder="1"/>
    </xf>
    <xf numFmtId="0" fontId="11" fillId="0" borderId="24" xfId="0" applyFont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readingOrder="1"/>
    </xf>
    <xf numFmtId="0" fontId="5" fillId="3" borderId="1" xfId="0" applyFont="1" applyFill="1" applyBorder="1" applyAlignment="1">
      <alignment horizontal="center" vertical="center" readingOrder="1"/>
    </xf>
    <xf numFmtId="0" fontId="5" fillId="3" borderId="1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center" vertical="center" readingOrder="1"/>
    </xf>
    <xf numFmtId="0" fontId="5" fillId="3" borderId="1" xfId="0" applyFont="1" applyFill="1" applyBorder="1" applyAlignment="1">
      <alignment horizontal="center" vertical="center" readingOrder="1"/>
    </xf>
    <xf numFmtId="0" fontId="0" fillId="0" borderId="0" xfId="0" applyAlignment="1">
      <alignment horizontal="center"/>
    </xf>
    <xf numFmtId="0" fontId="0" fillId="8" borderId="0" xfId="0" applyFill="1"/>
    <xf numFmtId="0" fontId="3" fillId="5" borderId="1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center" vertical="center" readingOrder="1"/>
    </xf>
    <xf numFmtId="0" fontId="5" fillId="3" borderId="1" xfId="0" applyFont="1" applyFill="1" applyBorder="1" applyAlignment="1">
      <alignment horizontal="center" vertical="center" readingOrder="1"/>
    </xf>
    <xf numFmtId="0" fontId="3" fillId="5" borderId="12" xfId="0" applyFont="1" applyFill="1" applyBorder="1" applyAlignment="1">
      <alignment horizontal="center" vertical="center" readingOrder="1"/>
    </xf>
    <xf numFmtId="0" fontId="8" fillId="6" borderId="13" xfId="0" applyFont="1" applyFill="1" applyBorder="1" applyAlignment="1">
      <alignment horizontal="center" vertical="center" readingOrder="1"/>
    </xf>
    <xf numFmtId="0" fontId="8" fillId="6" borderId="23" xfId="0" applyFont="1" applyFill="1" applyBorder="1" applyAlignment="1">
      <alignment horizontal="center" vertical="center" readingOrder="1"/>
    </xf>
    <xf numFmtId="0" fontId="2" fillId="4" borderId="2" xfId="0" applyFont="1" applyFill="1" applyBorder="1" applyAlignment="1">
      <alignment horizontal="center" vertical="center" readingOrder="1"/>
    </xf>
    <xf numFmtId="0" fontId="0" fillId="0" borderId="0" xfId="0" applyFill="1"/>
    <xf numFmtId="0" fontId="6" fillId="4" borderId="36" xfId="0" applyFont="1" applyFill="1" applyBorder="1" applyAlignment="1">
      <alignment horizontal="center" vertical="center" readingOrder="1"/>
    </xf>
    <xf numFmtId="0" fontId="2" fillId="4" borderId="6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center" vertical="center" readingOrder="1"/>
    </xf>
    <xf numFmtId="0" fontId="5" fillId="3" borderId="1" xfId="0" applyFont="1" applyFill="1" applyBorder="1" applyAlignment="1">
      <alignment horizontal="center" vertical="center" readingOrder="1"/>
    </xf>
    <xf numFmtId="0" fontId="8" fillId="6" borderId="13" xfId="0" applyFont="1" applyFill="1" applyBorder="1" applyAlignment="1">
      <alignment horizontal="center" vertical="center" readingOrder="1"/>
    </xf>
    <xf numFmtId="0" fontId="8" fillId="6" borderId="23" xfId="0" applyFont="1" applyFill="1" applyBorder="1" applyAlignment="1">
      <alignment horizontal="center" vertical="center" readingOrder="1"/>
    </xf>
    <xf numFmtId="0" fontId="2" fillId="4" borderId="2" xfId="0" applyFont="1" applyFill="1" applyBorder="1" applyAlignment="1">
      <alignment horizontal="center" vertical="center" readingOrder="1"/>
    </xf>
    <xf numFmtId="10" fontId="0" fillId="9" borderId="0" xfId="0" applyNumberFormat="1" applyFill="1"/>
    <xf numFmtId="0" fontId="5" fillId="3" borderId="1" xfId="0" applyFont="1" applyFill="1" applyBorder="1" applyAlignment="1">
      <alignment horizontal="center" vertical="center" readingOrder="1"/>
    </xf>
    <xf numFmtId="0" fontId="3" fillId="5" borderId="1" xfId="0" applyFont="1" applyFill="1" applyBorder="1" applyAlignment="1">
      <alignment horizontal="center" vertical="center" readingOrder="1"/>
    </xf>
    <xf numFmtId="0" fontId="2" fillId="4" borderId="2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center" vertical="center" readingOrder="1"/>
    </xf>
    <xf numFmtId="0" fontId="5" fillId="3" borderId="13" xfId="0" applyFont="1" applyFill="1" applyBorder="1" applyAlignment="1">
      <alignment horizontal="center" vertical="center" readingOrder="1"/>
    </xf>
    <xf numFmtId="0" fontId="2" fillId="4" borderId="13" xfId="0" applyFont="1" applyFill="1" applyBorder="1" applyAlignment="1">
      <alignment horizontal="center" vertical="center" readingOrder="1"/>
    </xf>
    <xf numFmtId="0" fontId="3" fillId="5" borderId="1" xfId="0" applyFont="1" applyFill="1" applyBorder="1" applyAlignment="1">
      <alignment horizontal="center" vertical="center" readingOrder="1"/>
    </xf>
    <xf numFmtId="0" fontId="5" fillId="3" borderId="1" xfId="0" applyFont="1" applyFill="1" applyBorder="1" applyAlignment="1">
      <alignment horizontal="center" vertical="center" readingOrder="1"/>
    </xf>
    <xf numFmtId="0" fontId="5" fillId="3" borderId="13" xfId="0" applyFont="1" applyFill="1" applyBorder="1" applyAlignment="1">
      <alignment horizontal="center" vertical="center" readingOrder="1"/>
    </xf>
    <xf numFmtId="0" fontId="3" fillId="5" borderId="13" xfId="0" applyFont="1" applyFill="1" applyBorder="1" applyAlignment="1">
      <alignment horizontal="center" vertical="center" readingOrder="1"/>
    </xf>
    <xf numFmtId="0" fontId="2" fillId="4" borderId="2" xfId="0" applyFont="1" applyFill="1" applyBorder="1" applyAlignment="1">
      <alignment horizontal="center" vertical="center" readingOrder="1"/>
    </xf>
    <xf numFmtId="0" fontId="5" fillId="3" borderId="37" xfId="0" applyFont="1" applyFill="1" applyBorder="1" applyAlignment="1">
      <alignment horizontal="center" vertical="center" readingOrder="1"/>
    </xf>
    <xf numFmtId="0" fontId="3" fillId="5" borderId="37" xfId="0" applyFont="1" applyFill="1" applyBorder="1" applyAlignment="1">
      <alignment horizontal="center" vertical="center" readingOrder="1"/>
    </xf>
    <xf numFmtId="0" fontId="19" fillId="0" borderId="0" xfId="0" applyFont="1"/>
    <xf numFmtId="0" fontId="19" fillId="0" borderId="28" xfId="0" applyFont="1" applyBorder="1"/>
    <xf numFmtId="0" fontId="19" fillId="0" borderId="16" xfId="0" applyFont="1" applyBorder="1"/>
    <xf numFmtId="0" fontId="17" fillId="0" borderId="8" xfId="0" applyFont="1" applyBorder="1" applyAlignment="1">
      <alignment horizontal="center" vertical="center" readingOrder="1"/>
    </xf>
    <xf numFmtId="0" fontId="19" fillId="0" borderId="38" xfId="0" applyFont="1" applyBorder="1"/>
    <xf numFmtId="0" fontId="19" fillId="0" borderId="22" xfId="0" applyFont="1" applyBorder="1"/>
    <xf numFmtId="0" fontId="6" fillId="4" borderId="6" xfId="0" applyFont="1" applyFill="1" applyBorder="1" applyAlignment="1">
      <alignment horizontal="center" vertical="center" readingOrder="1"/>
    </xf>
    <xf numFmtId="0" fontId="2" fillId="4" borderId="8" xfId="0" applyFont="1" applyFill="1" applyBorder="1" applyAlignment="1">
      <alignment horizontal="center" vertical="center" readingOrder="1"/>
    </xf>
    <xf numFmtId="0" fontId="6" fillId="4" borderId="13" xfId="0" applyFont="1" applyFill="1" applyBorder="1" applyAlignment="1">
      <alignment horizontal="center" vertical="center" readingOrder="1"/>
    </xf>
    <xf numFmtId="0" fontId="2" fillId="4" borderId="4" xfId="0" applyFont="1" applyFill="1" applyBorder="1" applyAlignment="1">
      <alignment horizontal="center" vertical="center" readingOrder="1"/>
    </xf>
    <xf numFmtId="0" fontId="5" fillId="3" borderId="1" xfId="0" applyFont="1" applyFill="1" applyBorder="1" applyAlignment="1">
      <alignment horizontal="center" vertical="center" readingOrder="1"/>
    </xf>
    <xf numFmtId="0" fontId="3" fillId="5" borderId="1" xfId="0" applyFont="1" applyFill="1" applyBorder="1" applyAlignment="1">
      <alignment horizontal="center" vertical="center" readingOrder="1"/>
    </xf>
    <xf numFmtId="0" fontId="2" fillId="4" borderId="2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center" vertical="center" readingOrder="1"/>
    </xf>
    <xf numFmtId="0" fontId="5" fillId="3" borderId="13" xfId="0" applyFont="1" applyFill="1" applyBorder="1" applyAlignment="1">
      <alignment horizontal="center" vertical="center" readingOrder="1"/>
    </xf>
    <xf numFmtId="0" fontId="3" fillId="5" borderId="12" xfId="0" applyFont="1" applyFill="1" applyBorder="1" applyAlignment="1">
      <alignment horizontal="center" vertical="center" readingOrder="1"/>
    </xf>
    <xf numFmtId="0" fontId="3" fillId="5" borderId="13" xfId="0" applyFont="1" applyFill="1" applyBorder="1" applyAlignment="1">
      <alignment horizontal="center" vertical="center" readingOrder="1"/>
    </xf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5" borderId="1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center" vertical="center" readingOrder="1"/>
    </xf>
    <xf numFmtId="0" fontId="5" fillId="3" borderId="1" xfId="0" applyFont="1" applyFill="1" applyBorder="1" applyAlignment="1">
      <alignment horizontal="center" vertical="center" readingOrder="1"/>
    </xf>
    <xf numFmtId="0" fontId="5" fillId="3" borderId="12" xfId="0" applyFont="1" applyFill="1" applyBorder="1" applyAlignment="1">
      <alignment horizontal="center" vertical="center" readingOrder="1"/>
    </xf>
    <xf numFmtId="0" fontId="5" fillId="3" borderId="13" xfId="0" applyFont="1" applyFill="1" applyBorder="1" applyAlignment="1">
      <alignment horizontal="center" vertical="center" readingOrder="1"/>
    </xf>
    <xf numFmtId="0" fontId="16" fillId="6" borderId="25" xfId="0" applyFont="1" applyFill="1" applyBorder="1" applyAlignment="1">
      <alignment horizontal="center" vertical="center"/>
    </xf>
    <xf numFmtId="0" fontId="16" fillId="6" borderId="26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16" fillId="6" borderId="9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 readingOrder="1"/>
    </xf>
    <xf numFmtId="0" fontId="3" fillId="5" borderId="13" xfId="0" applyFont="1" applyFill="1" applyBorder="1" applyAlignment="1">
      <alignment horizontal="center" vertical="center" readingOrder="1"/>
    </xf>
    <xf numFmtId="0" fontId="2" fillId="4" borderId="12" xfId="0" applyFont="1" applyFill="1" applyBorder="1" applyAlignment="1">
      <alignment horizontal="center" vertical="center" readingOrder="1"/>
    </xf>
    <xf numFmtId="0" fontId="2" fillId="4" borderId="13" xfId="0" applyFont="1" applyFill="1" applyBorder="1" applyAlignment="1">
      <alignment horizontal="center" vertical="center" readingOrder="1"/>
    </xf>
    <xf numFmtId="0" fontId="8" fillId="6" borderId="13" xfId="0" applyFont="1" applyFill="1" applyBorder="1" applyAlignment="1">
      <alignment horizontal="center" vertical="center" readingOrder="1"/>
    </xf>
    <xf numFmtId="0" fontId="8" fillId="6" borderId="23" xfId="0" applyFont="1" applyFill="1" applyBorder="1" applyAlignment="1">
      <alignment horizontal="center" vertical="center" readingOrder="1"/>
    </xf>
    <xf numFmtId="0" fontId="2" fillId="4" borderId="14" xfId="0" applyFont="1" applyFill="1" applyBorder="1" applyAlignment="1">
      <alignment horizontal="center" vertical="center" readingOrder="1"/>
    </xf>
    <xf numFmtId="0" fontId="2" fillId="4" borderId="15" xfId="0" applyFont="1" applyFill="1" applyBorder="1" applyAlignment="1">
      <alignment horizontal="center" vertical="center" readingOrder="1"/>
    </xf>
    <xf numFmtId="0" fontId="8" fillId="6" borderId="7" xfId="0" applyFont="1" applyFill="1" applyBorder="1" applyAlignment="1">
      <alignment horizontal="center" vertical="center" readingOrder="1"/>
    </xf>
    <xf numFmtId="0" fontId="8" fillId="6" borderId="0" xfId="0" applyFont="1" applyFill="1" applyBorder="1" applyAlignment="1">
      <alignment horizontal="center" vertical="center" readingOrder="1"/>
    </xf>
    <xf numFmtId="0" fontId="8" fillId="6" borderId="11" xfId="0" applyFont="1" applyFill="1" applyBorder="1" applyAlignment="1">
      <alignment horizontal="center" vertical="center" readingOrder="1"/>
    </xf>
    <xf numFmtId="0" fontId="8" fillId="6" borderId="21" xfId="0" applyFont="1" applyFill="1" applyBorder="1" applyAlignment="1">
      <alignment horizontal="center" vertical="center" readingOrder="1"/>
    </xf>
    <xf numFmtId="0" fontId="8" fillId="6" borderId="29" xfId="0" applyFont="1" applyFill="1" applyBorder="1" applyAlignment="1">
      <alignment horizontal="center" vertical="center" readingOrder="1"/>
    </xf>
    <xf numFmtId="0" fontId="8" fillId="6" borderId="22" xfId="0" applyFont="1" applyFill="1" applyBorder="1" applyAlignment="1">
      <alignment horizontal="center" vertical="center" readingOrder="1"/>
    </xf>
    <xf numFmtId="0" fontId="2" fillId="4" borderId="2" xfId="0" applyFont="1" applyFill="1" applyBorder="1" applyAlignment="1">
      <alignment horizontal="center" vertical="center" readingOrder="1"/>
    </xf>
    <xf numFmtId="0" fontId="10" fillId="7" borderId="25" xfId="0" applyFont="1" applyFill="1" applyBorder="1" applyAlignment="1">
      <alignment horizontal="center" vertical="center"/>
    </xf>
    <xf numFmtId="0" fontId="10" fillId="7" borderId="26" xfId="0" applyFont="1" applyFill="1" applyBorder="1" applyAlignment="1">
      <alignment horizontal="center" vertical="center"/>
    </xf>
    <xf numFmtId="0" fontId="10" fillId="7" borderId="27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readingOrder="1"/>
    </xf>
    <xf numFmtId="0" fontId="8" fillId="7" borderId="5" xfId="0" applyFont="1" applyFill="1" applyBorder="1" applyAlignment="1">
      <alignment horizontal="center" vertical="center" readingOrder="1"/>
    </xf>
    <xf numFmtId="0" fontId="8" fillId="7" borderId="9" xfId="0" applyFont="1" applyFill="1" applyBorder="1" applyAlignment="1">
      <alignment horizontal="center" vertical="center" readingOrder="1"/>
    </xf>
    <xf numFmtId="0" fontId="8" fillId="7" borderId="19" xfId="0" applyFont="1" applyFill="1" applyBorder="1" applyAlignment="1">
      <alignment horizontal="center" vertical="center" readingOrder="1"/>
    </xf>
    <xf numFmtId="0" fontId="8" fillId="7" borderId="20" xfId="0" applyFont="1" applyFill="1" applyBorder="1" applyAlignment="1">
      <alignment horizontal="center" vertical="center" readingOrder="1"/>
    </xf>
    <xf numFmtId="0" fontId="8" fillId="4" borderId="3" xfId="0" applyFont="1" applyFill="1" applyBorder="1" applyAlignment="1">
      <alignment horizontal="center" vertical="center" readingOrder="1"/>
    </xf>
    <xf numFmtId="0" fontId="8" fillId="4" borderId="5" xfId="0" applyFont="1" applyFill="1" applyBorder="1" applyAlignment="1">
      <alignment horizontal="center" vertical="center" readingOrder="1"/>
    </xf>
    <xf numFmtId="0" fontId="8" fillId="4" borderId="9" xfId="0" applyFont="1" applyFill="1" applyBorder="1" applyAlignment="1">
      <alignment horizontal="center" vertical="center" readingOrder="1"/>
    </xf>
    <xf numFmtId="0" fontId="8" fillId="5" borderId="4" xfId="0" applyFont="1" applyFill="1" applyBorder="1" applyAlignment="1">
      <alignment horizontal="center" vertical="center" readingOrder="1"/>
    </xf>
    <xf numFmtId="0" fontId="8" fillId="5" borderId="6" xfId="0" applyFont="1" applyFill="1" applyBorder="1" applyAlignment="1">
      <alignment horizontal="center" vertical="center" readingOrder="1"/>
    </xf>
    <xf numFmtId="0" fontId="8" fillId="5" borderId="10" xfId="0" applyFont="1" applyFill="1" applyBorder="1" applyAlignment="1">
      <alignment horizontal="center" vertical="center" readingOrder="1"/>
    </xf>
    <xf numFmtId="0" fontId="8" fillId="2" borderId="1" xfId="0" applyFont="1" applyFill="1" applyBorder="1" applyAlignment="1">
      <alignment horizontal="center" vertical="center" readingOrder="1"/>
    </xf>
    <xf numFmtId="0" fontId="8" fillId="7" borderId="30" xfId="0" applyFont="1" applyFill="1" applyBorder="1" applyAlignment="1">
      <alignment horizontal="center" vertical="center" readingOrder="1"/>
    </xf>
    <xf numFmtId="0" fontId="8" fillId="7" borderId="31" xfId="0" applyFont="1" applyFill="1" applyBorder="1" applyAlignment="1">
      <alignment horizontal="center" vertical="center" readingOrder="1"/>
    </xf>
    <xf numFmtId="0" fontId="8" fillId="7" borderId="7" xfId="0" applyFont="1" applyFill="1" applyBorder="1" applyAlignment="1">
      <alignment horizontal="center" vertical="center" readingOrder="1"/>
    </xf>
    <xf numFmtId="0" fontId="8" fillId="7" borderId="11" xfId="0" applyFont="1" applyFill="1" applyBorder="1" applyAlignment="1">
      <alignment horizontal="center" vertical="center" readingOrder="1"/>
    </xf>
    <xf numFmtId="0" fontId="8" fillId="7" borderId="21" xfId="0" applyFont="1" applyFill="1" applyBorder="1" applyAlignment="1">
      <alignment horizontal="center" vertical="center" readingOrder="1"/>
    </xf>
    <xf numFmtId="0" fontId="8" fillId="7" borderId="22" xfId="0" applyFont="1" applyFill="1" applyBorder="1" applyAlignment="1">
      <alignment horizontal="center" vertical="center" readingOrder="1"/>
    </xf>
    <xf numFmtId="0" fontId="8" fillId="4" borderId="33" xfId="0" applyFont="1" applyFill="1" applyBorder="1" applyAlignment="1">
      <alignment horizontal="center" vertical="center" readingOrder="1"/>
    </xf>
    <xf numFmtId="0" fontId="8" fillId="4" borderId="34" xfId="0" applyFont="1" applyFill="1" applyBorder="1" applyAlignment="1">
      <alignment horizontal="center" vertical="center" readingOrder="1"/>
    </xf>
    <xf numFmtId="0" fontId="8" fillId="4" borderId="35" xfId="0" applyFont="1" applyFill="1" applyBorder="1" applyAlignment="1">
      <alignment horizontal="center" vertical="center" readingOrder="1"/>
    </xf>
    <xf numFmtId="0" fontId="16" fillId="6" borderId="39" xfId="0" applyFont="1" applyFill="1" applyBorder="1" applyAlignment="1">
      <alignment horizontal="center" vertical="center"/>
    </xf>
    <xf numFmtId="0" fontId="16" fillId="6" borderId="40" xfId="0" applyFont="1" applyFill="1" applyBorder="1" applyAlignment="1">
      <alignment horizontal="center" vertical="center"/>
    </xf>
    <xf numFmtId="0" fontId="16" fillId="6" borderId="41" xfId="0" applyFont="1" applyFill="1" applyBorder="1" applyAlignment="1">
      <alignment horizontal="center" vertical="center"/>
    </xf>
    <xf numFmtId="10" fontId="0" fillId="0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1EE9-E86F-470C-A09B-56E7AF50743D}">
  <dimension ref="B2:R60"/>
  <sheetViews>
    <sheetView topLeftCell="A3" zoomScale="71" zoomScaleNormal="71" workbookViewId="0">
      <selection activeCell="F23" sqref="F23"/>
    </sheetView>
  </sheetViews>
  <sheetFormatPr defaultRowHeight="15" x14ac:dyDescent="0.25"/>
  <cols>
    <col min="1" max="1" width="3.28515625" customWidth="1"/>
    <col min="2" max="2" width="13.140625" customWidth="1"/>
    <col min="3" max="4" width="5.140625" style="1" customWidth="1"/>
    <col min="5" max="5" width="15.140625" style="1" customWidth="1"/>
    <col min="6" max="15" width="13.42578125" style="1" customWidth="1"/>
    <col min="16" max="17" width="12.85546875" customWidth="1"/>
    <col min="18" max="18" width="26.42578125" customWidth="1"/>
  </cols>
  <sheetData>
    <row r="2" spans="2:18" ht="25.5" x14ac:dyDescent="0.35">
      <c r="B2" s="27" t="s">
        <v>74</v>
      </c>
    </row>
    <row r="3" spans="2:18" ht="15.75" thickBot="1" x14ac:dyDescent="0.3">
      <c r="B3" s="26"/>
    </row>
    <row r="4" spans="2:18" x14ac:dyDescent="0.25">
      <c r="B4" s="163" t="s">
        <v>38</v>
      </c>
      <c r="C4" s="166" t="s">
        <v>0</v>
      </c>
      <c r="D4" s="178" t="s">
        <v>1</v>
      </c>
      <c r="E4" s="179"/>
      <c r="F4" s="169" t="s">
        <v>2</v>
      </c>
      <c r="G4" s="169"/>
      <c r="H4" s="169"/>
      <c r="I4" s="169"/>
      <c r="J4" s="169"/>
      <c r="K4" s="169"/>
      <c r="L4" s="169"/>
      <c r="M4" s="169"/>
      <c r="N4" s="169"/>
      <c r="O4" s="170"/>
      <c r="P4" s="171" t="s">
        <v>36</v>
      </c>
      <c r="Q4" s="174" t="s">
        <v>37</v>
      </c>
    </row>
    <row r="5" spans="2:18" x14ac:dyDescent="0.25">
      <c r="B5" s="164"/>
      <c r="C5" s="167"/>
      <c r="D5" s="180"/>
      <c r="E5" s="181"/>
      <c r="F5" s="177" t="s">
        <v>3</v>
      </c>
      <c r="G5" s="177"/>
      <c r="H5" s="177"/>
      <c r="I5" s="177" t="s">
        <v>40</v>
      </c>
      <c r="J5" s="177"/>
      <c r="K5" s="177"/>
      <c r="L5" s="177" t="s">
        <v>4</v>
      </c>
      <c r="M5" s="177"/>
      <c r="N5" s="177"/>
      <c r="O5" s="9" t="s">
        <v>5</v>
      </c>
      <c r="P5" s="172"/>
      <c r="Q5" s="175"/>
    </row>
    <row r="6" spans="2:18" ht="29.25" customHeight="1" thickBot="1" x14ac:dyDescent="0.3">
      <c r="B6" s="165"/>
      <c r="C6" s="168"/>
      <c r="D6" s="182"/>
      <c r="E6" s="183"/>
      <c r="F6" s="55" t="s">
        <v>46</v>
      </c>
      <c r="G6" s="55" t="s">
        <v>45</v>
      </c>
      <c r="H6" s="56" t="s">
        <v>6</v>
      </c>
      <c r="I6" s="56" t="s">
        <v>7</v>
      </c>
      <c r="J6" s="55" t="s">
        <v>41</v>
      </c>
      <c r="K6" s="55" t="s">
        <v>42</v>
      </c>
      <c r="L6" s="56" t="s">
        <v>8</v>
      </c>
      <c r="M6" s="55" t="s">
        <v>43</v>
      </c>
      <c r="N6" s="56" t="s">
        <v>9</v>
      </c>
      <c r="O6" s="18" t="s">
        <v>44</v>
      </c>
      <c r="P6" s="173"/>
      <c r="Q6" s="176"/>
      <c r="R6" s="57" t="s">
        <v>75</v>
      </c>
    </row>
    <row r="7" spans="2:18" x14ac:dyDescent="0.25">
      <c r="B7" s="144" t="s">
        <v>39</v>
      </c>
      <c r="C7" s="37">
        <v>1</v>
      </c>
      <c r="D7" s="59"/>
      <c r="E7" s="28" t="s">
        <v>10</v>
      </c>
      <c r="F7" s="10" t="s">
        <v>11</v>
      </c>
      <c r="G7" s="11" t="s">
        <v>12</v>
      </c>
      <c r="H7" s="12" t="s">
        <v>13</v>
      </c>
      <c r="I7" s="13" t="s">
        <v>13</v>
      </c>
      <c r="J7" s="13" t="s">
        <v>13</v>
      </c>
      <c r="K7" s="13" t="s">
        <v>13</v>
      </c>
      <c r="L7" s="13" t="s">
        <v>13</v>
      </c>
      <c r="M7" s="14" t="s">
        <v>12</v>
      </c>
      <c r="N7" s="13" t="s">
        <v>13</v>
      </c>
      <c r="O7" s="15" t="s">
        <v>11</v>
      </c>
      <c r="P7" s="16">
        <f>COUNTIF(F7:O7,"O ")</f>
        <v>2</v>
      </c>
      <c r="Q7" s="17">
        <f>COUNTIF(F7:O7,"X")</f>
        <v>2</v>
      </c>
      <c r="R7" s="58">
        <f>P7/(P7+Q7)</f>
        <v>0.5</v>
      </c>
    </row>
    <row r="8" spans="2:18" x14ac:dyDescent="0.25">
      <c r="B8" s="145"/>
      <c r="C8" s="38">
        <v>2</v>
      </c>
      <c r="D8" s="62" t="s">
        <v>76</v>
      </c>
      <c r="E8" s="29" t="s">
        <v>14</v>
      </c>
      <c r="F8" s="139" t="s">
        <v>12</v>
      </c>
      <c r="G8" s="139" t="s">
        <v>12</v>
      </c>
      <c r="H8" s="139" t="s">
        <v>12</v>
      </c>
      <c r="I8" s="141" t="s">
        <v>13</v>
      </c>
      <c r="J8" s="141" t="s">
        <v>13</v>
      </c>
      <c r="K8" s="141" t="s">
        <v>13</v>
      </c>
      <c r="L8" s="141" t="s">
        <v>13</v>
      </c>
      <c r="M8" s="141" t="s">
        <v>13</v>
      </c>
      <c r="N8" s="139" t="s">
        <v>12</v>
      </c>
      <c r="O8" s="162" t="s">
        <v>11</v>
      </c>
      <c r="P8" s="7">
        <f t="shared" ref="P8:P27" si="0">COUNTIF(F8:O8,"O ")</f>
        <v>1</v>
      </c>
      <c r="Q8" s="8">
        <f t="shared" ref="Q8:Q27" si="1">COUNTIF(F8:O8,"X")</f>
        <v>4</v>
      </c>
      <c r="R8" s="58">
        <f t="shared" ref="R8:R28" si="2">P8/(P8+Q8)</f>
        <v>0.2</v>
      </c>
    </row>
    <row r="9" spans="2:18" x14ac:dyDescent="0.25">
      <c r="B9" s="145"/>
      <c r="C9" s="38">
        <v>3</v>
      </c>
      <c r="D9" s="62" t="s">
        <v>76</v>
      </c>
      <c r="E9" s="29" t="s">
        <v>15</v>
      </c>
      <c r="F9" s="139"/>
      <c r="G9" s="139"/>
      <c r="H9" s="139"/>
      <c r="I9" s="141"/>
      <c r="J9" s="141"/>
      <c r="K9" s="141"/>
      <c r="L9" s="141"/>
      <c r="M9" s="141"/>
      <c r="N9" s="139"/>
      <c r="O9" s="162"/>
      <c r="P9" s="7">
        <f t="shared" si="0"/>
        <v>0</v>
      </c>
      <c r="Q9" s="8">
        <f t="shared" si="1"/>
        <v>0</v>
      </c>
      <c r="R9" s="58" t="e">
        <f t="shared" si="2"/>
        <v>#DIV/0!</v>
      </c>
    </row>
    <row r="10" spans="2:18" x14ac:dyDescent="0.25">
      <c r="B10" s="145"/>
      <c r="C10" s="38">
        <v>4</v>
      </c>
      <c r="D10" s="62" t="s">
        <v>76</v>
      </c>
      <c r="E10" s="29" t="s">
        <v>16</v>
      </c>
      <c r="F10" s="139"/>
      <c r="G10" s="139"/>
      <c r="H10" s="139"/>
      <c r="I10" s="141"/>
      <c r="J10" s="141"/>
      <c r="K10" s="141"/>
      <c r="L10" s="141"/>
      <c r="M10" s="141"/>
      <c r="N10" s="139"/>
      <c r="O10" s="162"/>
      <c r="P10" s="7">
        <f t="shared" si="0"/>
        <v>0</v>
      </c>
      <c r="Q10" s="8">
        <f t="shared" si="1"/>
        <v>0</v>
      </c>
      <c r="R10" s="58" t="e">
        <f t="shared" si="2"/>
        <v>#DIV/0!</v>
      </c>
    </row>
    <row r="11" spans="2:18" x14ac:dyDescent="0.25">
      <c r="B11" s="145"/>
      <c r="C11" s="38">
        <v>5</v>
      </c>
      <c r="D11" s="62" t="s">
        <v>76</v>
      </c>
      <c r="E11" s="29" t="s">
        <v>17</v>
      </c>
      <c r="F11" s="139" t="s">
        <v>12</v>
      </c>
      <c r="G11" s="139" t="s">
        <v>12</v>
      </c>
      <c r="H11" s="139" t="s">
        <v>12</v>
      </c>
      <c r="I11" s="141" t="s">
        <v>13</v>
      </c>
      <c r="J11" s="141" t="s">
        <v>13</v>
      </c>
      <c r="K11" s="141" t="s">
        <v>13</v>
      </c>
      <c r="L11" s="141" t="s">
        <v>13</v>
      </c>
      <c r="M11" s="141" t="s">
        <v>13</v>
      </c>
      <c r="N11" s="139" t="s">
        <v>12</v>
      </c>
      <c r="O11" s="162" t="s">
        <v>11</v>
      </c>
      <c r="P11" s="7">
        <f t="shared" si="0"/>
        <v>1</v>
      </c>
      <c r="Q11" s="8">
        <f t="shared" si="1"/>
        <v>4</v>
      </c>
      <c r="R11" s="58">
        <f t="shared" si="2"/>
        <v>0.2</v>
      </c>
    </row>
    <row r="12" spans="2:18" x14ac:dyDescent="0.25">
      <c r="B12" s="145"/>
      <c r="C12" s="38">
        <v>6</v>
      </c>
      <c r="D12" s="62" t="s">
        <v>76</v>
      </c>
      <c r="E12" s="29" t="s">
        <v>18</v>
      </c>
      <c r="F12" s="139"/>
      <c r="G12" s="139"/>
      <c r="H12" s="139"/>
      <c r="I12" s="141"/>
      <c r="J12" s="141"/>
      <c r="K12" s="141"/>
      <c r="L12" s="141"/>
      <c r="M12" s="141"/>
      <c r="N12" s="139"/>
      <c r="O12" s="162"/>
      <c r="P12" s="7">
        <f t="shared" si="0"/>
        <v>0</v>
      </c>
      <c r="Q12" s="8">
        <f t="shared" si="1"/>
        <v>0</v>
      </c>
      <c r="R12" s="58" t="e">
        <f t="shared" si="2"/>
        <v>#DIV/0!</v>
      </c>
    </row>
    <row r="13" spans="2:18" x14ac:dyDescent="0.25">
      <c r="B13" s="145"/>
      <c r="C13" s="38">
        <v>7</v>
      </c>
      <c r="D13" s="62" t="s">
        <v>76</v>
      </c>
      <c r="E13" s="29" t="s">
        <v>19</v>
      </c>
      <c r="F13" s="139"/>
      <c r="G13" s="139"/>
      <c r="H13" s="139"/>
      <c r="I13" s="141"/>
      <c r="J13" s="141"/>
      <c r="K13" s="141"/>
      <c r="L13" s="141"/>
      <c r="M13" s="141"/>
      <c r="N13" s="139"/>
      <c r="O13" s="162"/>
      <c r="P13" s="7">
        <f t="shared" si="0"/>
        <v>0</v>
      </c>
      <c r="Q13" s="8">
        <f t="shared" si="1"/>
        <v>0</v>
      </c>
      <c r="R13" s="58" t="e">
        <f t="shared" si="2"/>
        <v>#DIV/0!</v>
      </c>
    </row>
    <row r="14" spans="2:18" x14ac:dyDescent="0.25">
      <c r="B14" s="145"/>
      <c r="C14" s="38">
        <v>8</v>
      </c>
      <c r="D14" s="60"/>
      <c r="E14" s="29" t="s">
        <v>20</v>
      </c>
      <c r="F14" s="141" t="s">
        <v>13</v>
      </c>
      <c r="G14" s="139" t="s">
        <v>12</v>
      </c>
      <c r="H14" s="139" t="s">
        <v>12</v>
      </c>
      <c r="I14" s="141" t="s">
        <v>13</v>
      </c>
      <c r="J14" s="141" t="s">
        <v>13</v>
      </c>
      <c r="K14" s="141" t="s">
        <v>13</v>
      </c>
      <c r="L14" s="140" t="s">
        <v>22</v>
      </c>
      <c r="M14" s="141" t="s">
        <v>13</v>
      </c>
      <c r="N14" s="141" t="s">
        <v>13</v>
      </c>
      <c r="O14" s="162" t="s">
        <v>11</v>
      </c>
      <c r="P14" s="7">
        <f t="shared" si="0"/>
        <v>1</v>
      </c>
      <c r="Q14" s="8">
        <f t="shared" si="1"/>
        <v>2</v>
      </c>
      <c r="R14" s="58">
        <f t="shared" si="2"/>
        <v>0.33333333333333331</v>
      </c>
    </row>
    <row r="15" spans="2:18" x14ac:dyDescent="0.25">
      <c r="B15" s="145"/>
      <c r="C15" s="38">
        <v>9</v>
      </c>
      <c r="D15" s="60"/>
      <c r="E15" s="29" t="s">
        <v>21</v>
      </c>
      <c r="F15" s="141"/>
      <c r="G15" s="139"/>
      <c r="H15" s="139"/>
      <c r="I15" s="141"/>
      <c r="J15" s="141"/>
      <c r="K15" s="141"/>
      <c r="L15" s="140"/>
      <c r="M15" s="141"/>
      <c r="N15" s="141"/>
      <c r="O15" s="162"/>
      <c r="P15" s="7">
        <f t="shared" si="0"/>
        <v>0</v>
      </c>
      <c r="Q15" s="8">
        <f t="shared" si="1"/>
        <v>0</v>
      </c>
      <c r="R15" s="58" t="e">
        <f t="shared" si="2"/>
        <v>#DIV/0!</v>
      </c>
    </row>
    <row r="16" spans="2:18" x14ac:dyDescent="0.25">
      <c r="B16" s="145"/>
      <c r="C16" s="38">
        <v>10</v>
      </c>
      <c r="D16" s="60"/>
      <c r="E16" s="29" t="s">
        <v>23</v>
      </c>
      <c r="F16" s="141" t="s">
        <v>13</v>
      </c>
      <c r="G16" s="139" t="s">
        <v>12</v>
      </c>
      <c r="H16" s="139" t="s">
        <v>12</v>
      </c>
      <c r="I16" s="141" t="s">
        <v>13</v>
      </c>
      <c r="J16" s="139" t="s">
        <v>12</v>
      </c>
      <c r="K16" s="141" t="s">
        <v>13</v>
      </c>
      <c r="L16" s="140" t="s">
        <v>22</v>
      </c>
      <c r="M16" s="141" t="s">
        <v>13</v>
      </c>
      <c r="N16" s="141" t="s">
        <v>13</v>
      </c>
      <c r="O16" s="162" t="s">
        <v>11</v>
      </c>
      <c r="P16" s="7">
        <f t="shared" si="0"/>
        <v>1</v>
      </c>
      <c r="Q16" s="8">
        <f t="shared" si="1"/>
        <v>3</v>
      </c>
      <c r="R16" s="58">
        <f t="shared" si="2"/>
        <v>0.25</v>
      </c>
    </row>
    <row r="17" spans="2:18" x14ac:dyDescent="0.25">
      <c r="B17" s="145"/>
      <c r="C17" s="38">
        <v>11</v>
      </c>
      <c r="D17" s="60"/>
      <c r="E17" s="29" t="s">
        <v>24</v>
      </c>
      <c r="F17" s="141"/>
      <c r="G17" s="139"/>
      <c r="H17" s="139"/>
      <c r="I17" s="141"/>
      <c r="J17" s="139"/>
      <c r="K17" s="141"/>
      <c r="L17" s="140"/>
      <c r="M17" s="141"/>
      <c r="N17" s="141"/>
      <c r="O17" s="162"/>
      <c r="P17" s="7">
        <f t="shared" si="0"/>
        <v>0</v>
      </c>
      <c r="Q17" s="8">
        <f t="shared" si="1"/>
        <v>0</v>
      </c>
      <c r="R17" s="58" t="e">
        <f t="shared" si="2"/>
        <v>#DIV/0!</v>
      </c>
    </row>
    <row r="18" spans="2:18" x14ac:dyDescent="0.25">
      <c r="B18" s="145"/>
      <c r="C18" s="38">
        <v>12</v>
      </c>
      <c r="D18" s="60"/>
      <c r="E18" s="29" t="s">
        <v>25</v>
      </c>
      <c r="F18" s="141"/>
      <c r="G18" s="139"/>
      <c r="H18" s="139"/>
      <c r="I18" s="141"/>
      <c r="J18" s="139"/>
      <c r="K18" s="141"/>
      <c r="L18" s="140"/>
      <c r="M18" s="141"/>
      <c r="N18" s="141"/>
      <c r="O18" s="162"/>
      <c r="P18" s="7">
        <f t="shared" si="0"/>
        <v>0</v>
      </c>
      <c r="Q18" s="8">
        <f t="shared" si="1"/>
        <v>0</v>
      </c>
      <c r="R18" s="58" t="e">
        <f t="shared" si="2"/>
        <v>#DIV/0!</v>
      </c>
    </row>
    <row r="19" spans="2:18" x14ac:dyDescent="0.25">
      <c r="B19" s="145"/>
      <c r="C19" s="38">
        <v>13</v>
      </c>
      <c r="D19" s="60"/>
      <c r="E19" s="29" t="s">
        <v>26</v>
      </c>
      <c r="F19" s="141" t="s">
        <v>13</v>
      </c>
      <c r="G19" s="139" t="s">
        <v>12</v>
      </c>
      <c r="H19" s="139" t="s">
        <v>12</v>
      </c>
      <c r="I19" s="141" t="s">
        <v>13</v>
      </c>
      <c r="J19" s="141" t="s">
        <v>13</v>
      </c>
      <c r="K19" s="141" t="s">
        <v>13</v>
      </c>
      <c r="L19" s="140" t="s">
        <v>22</v>
      </c>
      <c r="M19" s="141" t="s">
        <v>13</v>
      </c>
      <c r="N19" s="141" t="s">
        <v>13</v>
      </c>
      <c r="O19" s="162" t="s">
        <v>11</v>
      </c>
      <c r="P19" s="7">
        <f t="shared" si="0"/>
        <v>1</v>
      </c>
      <c r="Q19" s="8">
        <f t="shared" si="1"/>
        <v>2</v>
      </c>
      <c r="R19" s="58">
        <f t="shared" si="2"/>
        <v>0.33333333333333331</v>
      </c>
    </row>
    <row r="20" spans="2:18" x14ac:dyDescent="0.25">
      <c r="B20" s="145"/>
      <c r="C20" s="38">
        <v>14</v>
      </c>
      <c r="D20" s="60"/>
      <c r="E20" s="29" t="s">
        <v>27</v>
      </c>
      <c r="F20" s="141"/>
      <c r="G20" s="139"/>
      <c r="H20" s="139"/>
      <c r="I20" s="141"/>
      <c r="J20" s="141"/>
      <c r="K20" s="141"/>
      <c r="L20" s="140"/>
      <c r="M20" s="141"/>
      <c r="N20" s="141"/>
      <c r="O20" s="162"/>
      <c r="P20" s="7">
        <f t="shared" si="0"/>
        <v>0</v>
      </c>
      <c r="Q20" s="8">
        <f t="shared" si="1"/>
        <v>0</v>
      </c>
      <c r="R20" s="58" t="e">
        <f t="shared" si="2"/>
        <v>#DIV/0!</v>
      </c>
    </row>
    <row r="21" spans="2:18" x14ac:dyDescent="0.25">
      <c r="B21" s="145"/>
      <c r="C21" s="38">
        <v>15</v>
      </c>
      <c r="D21" s="60"/>
      <c r="E21" s="29" t="s">
        <v>28</v>
      </c>
      <c r="F21" s="2" t="s">
        <v>11</v>
      </c>
      <c r="G21" s="4" t="s">
        <v>12</v>
      </c>
      <c r="H21" s="4" t="s">
        <v>12</v>
      </c>
      <c r="I21" s="5" t="s">
        <v>22</v>
      </c>
      <c r="J21" s="3" t="s">
        <v>13</v>
      </c>
      <c r="K21" s="3" t="s">
        <v>13</v>
      </c>
      <c r="L21" s="5" t="s">
        <v>22</v>
      </c>
      <c r="M21" s="3" t="s">
        <v>13</v>
      </c>
      <c r="N21" s="3" t="s">
        <v>13</v>
      </c>
      <c r="O21" s="6" t="s">
        <v>11</v>
      </c>
      <c r="P21" s="7">
        <f t="shared" si="0"/>
        <v>2</v>
      </c>
      <c r="Q21" s="8">
        <f t="shared" si="1"/>
        <v>2</v>
      </c>
      <c r="R21" s="58">
        <f t="shared" si="2"/>
        <v>0.5</v>
      </c>
    </row>
    <row r="22" spans="2:18" x14ac:dyDescent="0.25">
      <c r="B22" s="145"/>
      <c r="C22" s="38">
        <v>16</v>
      </c>
      <c r="D22" s="60"/>
      <c r="E22" s="29" t="s">
        <v>29</v>
      </c>
      <c r="F22" s="5" t="s">
        <v>11</v>
      </c>
      <c r="G22" s="4" t="s">
        <v>12</v>
      </c>
      <c r="H22" s="4" t="s">
        <v>12</v>
      </c>
      <c r="I22" s="5" t="s">
        <v>22</v>
      </c>
      <c r="J22" s="3" t="s">
        <v>13</v>
      </c>
      <c r="K22" s="3" t="s">
        <v>13</v>
      </c>
      <c r="L22" s="5" t="s">
        <v>22</v>
      </c>
      <c r="M22" s="3" t="s">
        <v>13</v>
      </c>
      <c r="N22" s="3" t="s">
        <v>13</v>
      </c>
      <c r="O22" s="6" t="s">
        <v>11</v>
      </c>
      <c r="P22" s="7">
        <f t="shared" si="0"/>
        <v>2</v>
      </c>
      <c r="Q22" s="8">
        <f t="shared" si="1"/>
        <v>2</v>
      </c>
      <c r="R22" s="58">
        <f t="shared" si="2"/>
        <v>0.5</v>
      </c>
    </row>
    <row r="23" spans="2:18" x14ac:dyDescent="0.25">
      <c r="B23" s="145"/>
      <c r="C23" s="38">
        <v>17</v>
      </c>
      <c r="D23" s="62" t="s">
        <v>76</v>
      </c>
      <c r="E23" s="29" t="s">
        <v>30</v>
      </c>
      <c r="F23" s="4" t="s">
        <v>12</v>
      </c>
      <c r="G23" s="4" t="s">
        <v>12</v>
      </c>
      <c r="H23" s="4" t="s">
        <v>12</v>
      </c>
      <c r="I23" s="3" t="s">
        <v>13</v>
      </c>
      <c r="J23" s="3" t="s">
        <v>13</v>
      </c>
      <c r="K23" s="3" t="s">
        <v>13</v>
      </c>
      <c r="L23" s="3" t="s">
        <v>13</v>
      </c>
      <c r="M23" s="3" t="s">
        <v>13</v>
      </c>
      <c r="N23" s="4" t="s">
        <v>12</v>
      </c>
      <c r="O23" s="6" t="s">
        <v>11</v>
      </c>
      <c r="P23" s="7">
        <f t="shared" si="0"/>
        <v>1</v>
      </c>
      <c r="Q23" s="8">
        <f t="shared" si="1"/>
        <v>4</v>
      </c>
      <c r="R23" s="58">
        <f t="shared" si="2"/>
        <v>0.2</v>
      </c>
    </row>
    <row r="24" spans="2:18" x14ac:dyDescent="0.25">
      <c r="B24" s="145"/>
      <c r="C24" s="38">
        <v>18</v>
      </c>
      <c r="D24" s="62" t="s">
        <v>76</v>
      </c>
      <c r="E24" s="29" t="s">
        <v>31</v>
      </c>
      <c r="F24" s="142" t="s">
        <v>13</v>
      </c>
      <c r="G24" s="148" t="s">
        <v>12</v>
      </c>
      <c r="H24" s="148" t="s">
        <v>12</v>
      </c>
      <c r="I24" s="142" t="s">
        <v>13</v>
      </c>
      <c r="J24" s="148" t="s">
        <v>12</v>
      </c>
      <c r="K24" s="148" t="s">
        <v>12</v>
      </c>
      <c r="L24" s="150" t="s">
        <v>22</v>
      </c>
      <c r="M24" s="142" t="s">
        <v>13</v>
      </c>
      <c r="N24" s="142" t="s">
        <v>13</v>
      </c>
      <c r="O24" s="154" t="s">
        <v>11</v>
      </c>
      <c r="P24" s="7">
        <f t="shared" si="0"/>
        <v>1</v>
      </c>
      <c r="Q24" s="8">
        <f t="shared" si="1"/>
        <v>4</v>
      </c>
      <c r="R24" s="58">
        <f t="shared" si="2"/>
        <v>0.2</v>
      </c>
    </row>
    <row r="25" spans="2:18" x14ac:dyDescent="0.25">
      <c r="B25" s="145"/>
      <c r="C25" s="38">
        <v>19</v>
      </c>
      <c r="D25" s="62" t="s">
        <v>76</v>
      </c>
      <c r="E25" s="29" t="s">
        <v>32</v>
      </c>
      <c r="F25" s="143"/>
      <c r="G25" s="149"/>
      <c r="H25" s="149"/>
      <c r="I25" s="143"/>
      <c r="J25" s="149"/>
      <c r="K25" s="149"/>
      <c r="L25" s="151"/>
      <c r="M25" s="143"/>
      <c r="N25" s="143"/>
      <c r="O25" s="155"/>
      <c r="P25" s="7">
        <f t="shared" si="0"/>
        <v>0</v>
      </c>
      <c r="Q25" s="8">
        <f t="shared" si="1"/>
        <v>0</v>
      </c>
      <c r="R25" s="58" t="e">
        <f t="shared" si="2"/>
        <v>#DIV/0!</v>
      </c>
    </row>
    <row r="26" spans="2:18" x14ac:dyDescent="0.25">
      <c r="B26" s="145"/>
      <c r="C26" s="38">
        <v>20</v>
      </c>
      <c r="D26" s="60"/>
      <c r="E26" s="29" t="s">
        <v>33</v>
      </c>
      <c r="F26" s="5" t="s">
        <v>11</v>
      </c>
      <c r="G26" s="3" t="s">
        <v>13</v>
      </c>
      <c r="H26" s="4" t="s">
        <v>12</v>
      </c>
      <c r="I26" s="3" t="s">
        <v>13</v>
      </c>
      <c r="J26" s="3" t="s">
        <v>13</v>
      </c>
      <c r="K26" s="3" t="s">
        <v>13</v>
      </c>
      <c r="L26" s="3" t="s">
        <v>13</v>
      </c>
      <c r="M26" s="4" t="s">
        <v>12</v>
      </c>
      <c r="N26" s="3" t="s">
        <v>13</v>
      </c>
      <c r="O26" s="6" t="s">
        <v>11</v>
      </c>
      <c r="P26" s="7">
        <f t="shared" si="0"/>
        <v>2</v>
      </c>
      <c r="Q26" s="8">
        <f t="shared" si="1"/>
        <v>2</v>
      </c>
      <c r="R26" s="58">
        <f t="shared" si="2"/>
        <v>0.5</v>
      </c>
    </row>
    <row r="27" spans="2:18" ht="15.75" thickBot="1" x14ac:dyDescent="0.3">
      <c r="B27" s="145"/>
      <c r="C27" s="39">
        <v>21</v>
      </c>
      <c r="D27" s="61"/>
      <c r="E27" s="30" t="s">
        <v>34</v>
      </c>
      <c r="F27" s="19" t="s">
        <v>11</v>
      </c>
      <c r="G27" s="20" t="s">
        <v>13</v>
      </c>
      <c r="H27" s="21" t="s">
        <v>12</v>
      </c>
      <c r="I27" s="20" t="s">
        <v>13</v>
      </c>
      <c r="J27" s="20" t="s">
        <v>13</v>
      </c>
      <c r="K27" s="20" t="s">
        <v>13</v>
      </c>
      <c r="L27" s="20" t="s">
        <v>13</v>
      </c>
      <c r="M27" s="21" t="s">
        <v>12</v>
      </c>
      <c r="N27" s="20" t="s">
        <v>13</v>
      </c>
      <c r="O27" s="22" t="s">
        <v>11</v>
      </c>
      <c r="P27" s="23">
        <f t="shared" si="0"/>
        <v>2</v>
      </c>
      <c r="Q27" s="24">
        <f t="shared" si="1"/>
        <v>2</v>
      </c>
      <c r="R27" s="58">
        <f t="shared" si="2"/>
        <v>0.5</v>
      </c>
    </row>
    <row r="28" spans="2:18" x14ac:dyDescent="0.25">
      <c r="B28" s="146"/>
      <c r="C28" s="156" t="s">
        <v>35</v>
      </c>
      <c r="D28" s="157"/>
      <c r="E28" s="158"/>
      <c r="F28" s="40">
        <f>COUNTIF(F7:F27,"O ")</f>
        <v>5</v>
      </c>
      <c r="G28" s="40">
        <f t="shared" ref="G28:O28" si="3">COUNTIF(G7:G27,"O ")</f>
        <v>0</v>
      </c>
      <c r="H28" s="40">
        <f t="shared" si="3"/>
        <v>0</v>
      </c>
      <c r="I28" s="40">
        <f t="shared" si="3"/>
        <v>0</v>
      </c>
      <c r="J28" s="40">
        <f t="shared" si="3"/>
        <v>0</v>
      </c>
      <c r="K28" s="40">
        <f t="shared" si="3"/>
        <v>0</v>
      </c>
      <c r="L28" s="40">
        <f t="shared" si="3"/>
        <v>0</v>
      </c>
      <c r="M28" s="40">
        <f t="shared" si="3"/>
        <v>0</v>
      </c>
      <c r="N28" s="40">
        <f t="shared" si="3"/>
        <v>0</v>
      </c>
      <c r="O28" s="41">
        <f t="shared" si="3"/>
        <v>12</v>
      </c>
      <c r="P28" s="50">
        <f>SUM(P7:P27)</f>
        <v>17</v>
      </c>
      <c r="Q28" s="51">
        <f>SUM(Q7:Q27)</f>
        <v>33</v>
      </c>
      <c r="R28" s="58">
        <f t="shared" si="2"/>
        <v>0.34</v>
      </c>
    </row>
    <row r="29" spans="2:18" ht="15.75" thickBot="1" x14ac:dyDescent="0.3">
      <c r="B29" s="147"/>
      <c r="C29" s="159"/>
      <c r="D29" s="160"/>
      <c r="E29" s="161"/>
      <c r="F29" s="42">
        <f>COUNTIF(F7:F27,"X")</f>
        <v>3</v>
      </c>
      <c r="G29" s="42">
        <f t="shared" ref="G29:O29" si="4">COUNTIF(G7:G27,"X")</f>
        <v>10</v>
      </c>
      <c r="H29" s="42">
        <f t="shared" si="4"/>
        <v>11</v>
      </c>
      <c r="I29" s="42">
        <f t="shared" si="4"/>
        <v>0</v>
      </c>
      <c r="J29" s="42">
        <f t="shared" si="4"/>
        <v>2</v>
      </c>
      <c r="K29" s="42">
        <f t="shared" si="4"/>
        <v>1</v>
      </c>
      <c r="L29" s="42">
        <f t="shared" si="4"/>
        <v>0</v>
      </c>
      <c r="M29" s="42">
        <f t="shared" si="4"/>
        <v>3</v>
      </c>
      <c r="N29" s="42">
        <f t="shared" si="4"/>
        <v>3</v>
      </c>
      <c r="O29" s="43">
        <f t="shared" si="4"/>
        <v>0</v>
      </c>
      <c r="P29" s="46">
        <f>P28/(P28+Q28)</f>
        <v>0.34</v>
      </c>
      <c r="Q29" s="47">
        <f>Q28/(Q28+P28)</f>
        <v>0.66</v>
      </c>
    </row>
    <row r="30" spans="2:18" x14ac:dyDescent="0.25">
      <c r="B30" s="144" t="s">
        <v>73</v>
      </c>
      <c r="C30" s="31">
        <v>1</v>
      </c>
      <c r="D30" s="52"/>
      <c r="E30" s="32" t="s">
        <v>34</v>
      </c>
      <c r="F30" s="10" t="s">
        <v>11</v>
      </c>
      <c r="G30" s="71" t="s">
        <v>12</v>
      </c>
      <c r="H30" s="71" t="s">
        <v>12</v>
      </c>
      <c r="I30" s="72" t="s">
        <v>13</v>
      </c>
      <c r="J30" s="72" t="s">
        <v>13</v>
      </c>
      <c r="K30" s="72" t="s">
        <v>13</v>
      </c>
      <c r="L30" s="72" t="s">
        <v>13</v>
      </c>
      <c r="M30" s="64" t="s">
        <v>12</v>
      </c>
      <c r="N30" s="72" t="s">
        <v>13</v>
      </c>
      <c r="O30" s="10" t="s">
        <v>11</v>
      </c>
      <c r="P30" s="16">
        <f t="shared" ref="P30:P58" si="5">COUNTIF(F30:O30,"O ")</f>
        <v>2</v>
      </c>
      <c r="Q30" s="17">
        <f>COUNTIF(F30:O30,"X")</f>
        <v>3</v>
      </c>
      <c r="R30" s="58">
        <f t="shared" ref="R30:R58" si="6">P30/(P30+Q30)</f>
        <v>0.4</v>
      </c>
    </row>
    <row r="31" spans="2:18" x14ac:dyDescent="0.25">
      <c r="B31" s="145"/>
      <c r="C31" s="33">
        <v>2</v>
      </c>
      <c r="D31" s="53"/>
      <c r="E31" s="34" t="s">
        <v>47</v>
      </c>
      <c r="F31" s="148" t="s">
        <v>12</v>
      </c>
      <c r="G31" s="141" t="s">
        <v>13</v>
      </c>
      <c r="H31" s="139" t="s">
        <v>12</v>
      </c>
      <c r="I31" s="141" t="s">
        <v>13</v>
      </c>
      <c r="J31" s="141" t="s">
        <v>13</v>
      </c>
      <c r="K31" s="141" t="s">
        <v>13</v>
      </c>
      <c r="L31" s="141" t="s">
        <v>13</v>
      </c>
      <c r="M31" s="141" t="s">
        <v>13</v>
      </c>
      <c r="N31" s="140" t="s">
        <v>22</v>
      </c>
      <c r="O31" s="140" t="s">
        <v>22</v>
      </c>
      <c r="P31" s="7">
        <f t="shared" si="5"/>
        <v>0</v>
      </c>
      <c r="Q31" s="8">
        <f t="shared" ref="Q31:Q58" si="7">COUNTIF(F31:O31,"X")</f>
        <v>2</v>
      </c>
      <c r="R31" s="58">
        <f t="shared" si="6"/>
        <v>0</v>
      </c>
    </row>
    <row r="32" spans="2:18" x14ac:dyDescent="0.25">
      <c r="B32" s="145"/>
      <c r="C32" s="33">
        <v>3</v>
      </c>
      <c r="D32" s="53"/>
      <c r="E32" s="34" t="s">
        <v>48</v>
      </c>
      <c r="F32" s="149"/>
      <c r="G32" s="141"/>
      <c r="H32" s="139"/>
      <c r="I32" s="141"/>
      <c r="J32" s="141"/>
      <c r="K32" s="141"/>
      <c r="L32" s="141"/>
      <c r="M32" s="141"/>
      <c r="N32" s="140"/>
      <c r="O32" s="140"/>
      <c r="P32" s="7">
        <f t="shared" si="5"/>
        <v>0</v>
      </c>
      <c r="Q32" s="8">
        <f t="shared" si="7"/>
        <v>0</v>
      </c>
      <c r="R32" s="58" t="e">
        <f t="shared" si="6"/>
        <v>#DIV/0!</v>
      </c>
    </row>
    <row r="33" spans="2:18" x14ac:dyDescent="0.25">
      <c r="B33" s="145"/>
      <c r="C33" s="33">
        <v>4</v>
      </c>
      <c r="D33" s="53"/>
      <c r="E33" s="34" t="s">
        <v>49</v>
      </c>
      <c r="F33" s="142" t="s">
        <v>13</v>
      </c>
      <c r="G33" s="139" t="s">
        <v>12</v>
      </c>
      <c r="H33" s="139" t="s">
        <v>12</v>
      </c>
      <c r="I33" s="141" t="s">
        <v>13</v>
      </c>
      <c r="J33" s="141" t="s">
        <v>13</v>
      </c>
      <c r="K33" s="141" t="s">
        <v>13</v>
      </c>
      <c r="L33" s="140" t="s">
        <v>22</v>
      </c>
      <c r="M33" s="141" t="s">
        <v>13</v>
      </c>
      <c r="N33" s="141" t="s">
        <v>13</v>
      </c>
      <c r="O33" s="140" t="s">
        <v>22</v>
      </c>
      <c r="P33" s="7">
        <f t="shared" si="5"/>
        <v>0</v>
      </c>
      <c r="Q33" s="8">
        <f t="shared" si="7"/>
        <v>2</v>
      </c>
      <c r="R33" s="58">
        <f t="shared" si="6"/>
        <v>0</v>
      </c>
    </row>
    <row r="34" spans="2:18" x14ac:dyDescent="0.25">
      <c r="B34" s="145"/>
      <c r="C34" s="33">
        <v>5</v>
      </c>
      <c r="D34" s="53"/>
      <c r="E34" s="34" t="s">
        <v>50</v>
      </c>
      <c r="F34" s="143"/>
      <c r="G34" s="139"/>
      <c r="H34" s="139"/>
      <c r="I34" s="141"/>
      <c r="J34" s="141"/>
      <c r="K34" s="141"/>
      <c r="L34" s="140"/>
      <c r="M34" s="141"/>
      <c r="N34" s="141"/>
      <c r="O34" s="140"/>
      <c r="P34" s="7">
        <f t="shared" si="5"/>
        <v>0</v>
      </c>
      <c r="Q34" s="8">
        <f t="shared" si="7"/>
        <v>0</v>
      </c>
      <c r="R34" s="58" t="e">
        <f t="shared" si="6"/>
        <v>#DIV/0!</v>
      </c>
    </row>
    <row r="35" spans="2:18" x14ac:dyDescent="0.25">
      <c r="B35" s="145"/>
      <c r="C35" s="33">
        <v>6</v>
      </c>
      <c r="D35" s="53"/>
      <c r="E35" s="34" t="s">
        <v>10</v>
      </c>
      <c r="F35" s="2" t="s">
        <v>11</v>
      </c>
      <c r="G35" s="73" t="s">
        <v>12</v>
      </c>
      <c r="H35" s="73" t="s">
        <v>12</v>
      </c>
      <c r="I35" s="68" t="s">
        <v>13</v>
      </c>
      <c r="J35" s="68" t="s">
        <v>13</v>
      </c>
      <c r="K35" s="68" t="s">
        <v>13</v>
      </c>
      <c r="L35" s="68" t="s">
        <v>13</v>
      </c>
      <c r="M35" s="69" t="s">
        <v>12</v>
      </c>
      <c r="N35" s="68" t="s">
        <v>13</v>
      </c>
      <c r="O35" s="2" t="s">
        <v>11</v>
      </c>
      <c r="P35" s="7">
        <f t="shared" si="5"/>
        <v>2</v>
      </c>
      <c r="Q35" s="8">
        <f t="shared" si="7"/>
        <v>3</v>
      </c>
      <c r="R35" s="58">
        <f t="shared" si="6"/>
        <v>0.4</v>
      </c>
    </row>
    <row r="36" spans="2:18" x14ac:dyDescent="0.25">
      <c r="B36" s="145"/>
      <c r="C36" s="33">
        <v>7</v>
      </c>
      <c r="D36" s="53"/>
      <c r="E36" s="34" t="s">
        <v>51</v>
      </c>
      <c r="F36" s="2" t="s">
        <v>11</v>
      </c>
      <c r="G36" s="73" t="s">
        <v>12</v>
      </c>
      <c r="H36" s="73" t="s">
        <v>12</v>
      </c>
      <c r="I36" s="73" t="s">
        <v>12</v>
      </c>
      <c r="J36" s="68" t="s">
        <v>13</v>
      </c>
      <c r="K36" s="68" t="s">
        <v>13</v>
      </c>
      <c r="L36" s="68" t="s">
        <v>13</v>
      </c>
      <c r="M36" s="68" t="s">
        <v>13</v>
      </c>
      <c r="N36" s="69" t="s">
        <v>12</v>
      </c>
      <c r="O36" s="2" t="s">
        <v>11</v>
      </c>
      <c r="P36" s="7">
        <f t="shared" si="5"/>
        <v>2</v>
      </c>
      <c r="Q36" s="8">
        <f t="shared" si="7"/>
        <v>4</v>
      </c>
      <c r="R36" s="58">
        <f t="shared" si="6"/>
        <v>0.33333333333333331</v>
      </c>
    </row>
    <row r="37" spans="2:18" x14ac:dyDescent="0.25">
      <c r="B37" s="145"/>
      <c r="C37" s="33">
        <v>8</v>
      </c>
      <c r="D37" s="53"/>
      <c r="E37" s="34" t="s">
        <v>33</v>
      </c>
      <c r="F37" s="2" t="s">
        <v>11</v>
      </c>
      <c r="G37" s="73" t="s">
        <v>12</v>
      </c>
      <c r="H37" s="73" t="s">
        <v>12</v>
      </c>
      <c r="I37" s="68" t="s">
        <v>13</v>
      </c>
      <c r="J37" s="68" t="s">
        <v>13</v>
      </c>
      <c r="K37" s="68" t="s">
        <v>13</v>
      </c>
      <c r="L37" s="2" t="s">
        <v>11</v>
      </c>
      <c r="M37" s="68" t="s">
        <v>13</v>
      </c>
      <c r="N37" s="68" t="s">
        <v>13</v>
      </c>
      <c r="O37" s="2" t="s">
        <v>11</v>
      </c>
      <c r="P37" s="7">
        <f t="shared" si="5"/>
        <v>3</v>
      </c>
      <c r="Q37" s="8">
        <f t="shared" si="7"/>
        <v>2</v>
      </c>
      <c r="R37" s="58">
        <f t="shared" si="6"/>
        <v>0.6</v>
      </c>
    </row>
    <row r="38" spans="2:18" x14ac:dyDescent="0.25">
      <c r="B38" s="145"/>
      <c r="C38" s="33">
        <v>9</v>
      </c>
      <c r="D38" s="53"/>
      <c r="E38" s="34" t="s">
        <v>52</v>
      </c>
      <c r="F38" s="2" t="s">
        <v>11</v>
      </c>
      <c r="G38" s="73" t="s">
        <v>12</v>
      </c>
      <c r="H38" s="73" t="s">
        <v>12</v>
      </c>
      <c r="I38" s="68" t="s">
        <v>13</v>
      </c>
      <c r="J38" s="68" t="s">
        <v>13</v>
      </c>
      <c r="K38" s="68" t="s">
        <v>13</v>
      </c>
      <c r="L38" s="68" t="s">
        <v>13</v>
      </c>
      <c r="M38" s="68" t="s">
        <v>13</v>
      </c>
      <c r="N38" s="69" t="s">
        <v>12</v>
      </c>
      <c r="O38" s="2" t="s">
        <v>11</v>
      </c>
      <c r="P38" s="7">
        <f t="shared" si="5"/>
        <v>2</v>
      </c>
      <c r="Q38" s="8">
        <f t="shared" si="7"/>
        <v>3</v>
      </c>
      <c r="R38" s="58">
        <f t="shared" si="6"/>
        <v>0.4</v>
      </c>
    </row>
    <row r="39" spans="2:18" x14ac:dyDescent="0.25">
      <c r="B39" s="145"/>
      <c r="C39" s="33">
        <v>10</v>
      </c>
      <c r="D39" s="53"/>
      <c r="E39" s="34" t="s">
        <v>53</v>
      </c>
      <c r="F39" s="2" t="s">
        <v>11</v>
      </c>
      <c r="G39" s="73" t="s">
        <v>12</v>
      </c>
      <c r="H39" s="73" t="s">
        <v>12</v>
      </c>
      <c r="I39" s="68" t="s">
        <v>13</v>
      </c>
      <c r="J39" s="68" t="s">
        <v>13</v>
      </c>
      <c r="K39" s="68" t="s">
        <v>13</v>
      </c>
      <c r="L39" s="68" t="s">
        <v>13</v>
      </c>
      <c r="M39" s="68" t="s">
        <v>13</v>
      </c>
      <c r="N39" s="69" t="s">
        <v>12</v>
      </c>
      <c r="O39" s="2" t="s">
        <v>11</v>
      </c>
      <c r="P39" s="7">
        <f t="shared" si="5"/>
        <v>2</v>
      </c>
      <c r="Q39" s="8">
        <f t="shared" si="7"/>
        <v>3</v>
      </c>
      <c r="R39" s="58">
        <f t="shared" si="6"/>
        <v>0.4</v>
      </c>
    </row>
    <row r="40" spans="2:18" x14ac:dyDescent="0.25">
      <c r="B40" s="145"/>
      <c r="C40" s="33">
        <v>11</v>
      </c>
      <c r="D40" s="53"/>
      <c r="E40" s="34" t="s">
        <v>54</v>
      </c>
      <c r="F40" s="3" t="s">
        <v>13</v>
      </c>
      <c r="G40" s="73" t="s">
        <v>12</v>
      </c>
      <c r="H40" s="68" t="s">
        <v>13</v>
      </c>
      <c r="I40" s="68" t="s">
        <v>13</v>
      </c>
      <c r="J40" s="68" t="s">
        <v>13</v>
      </c>
      <c r="K40" s="68" t="s">
        <v>13</v>
      </c>
      <c r="L40" s="68" t="s">
        <v>13</v>
      </c>
      <c r="M40" s="69" t="s">
        <v>12</v>
      </c>
      <c r="N40" s="69" t="s">
        <v>12</v>
      </c>
      <c r="O40" s="2" t="s">
        <v>11</v>
      </c>
      <c r="P40" s="7">
        <f t="shared" si="5"/>
        <v>1</v>
      </c>
      <c r="Q40" s="8">
        <f t="shared" si="7"/>
        <v>3</v>
      </c>
      <c r="R40" s="58">
        <f t="shared" si="6"/>
        <v>0.25</v>
      </c>
    </row>
    <row r="41" spans="2:18" x14ac:dyDescent="0.25">
      <c r="B41" s="145"/>
      <c r="C41" s="33">
        <v>12</v>
      </c>
      <c r="D41" s="53"/>
      <c r="E41" s="34" t="s">
        <v>55</v>
      </c>
      <c r="F41" s="142" t="s">
        <v>13</v>
      </c>
      <c r="G41" s="139" t="s">
        <v>12</v>
      </c>
      <c r="H41" s="139" t="s">
        <v>12</v>
      </c>
      <c r="I41" s="141" t="s">
        <v>13</v>
      </c>
      <c r="J41" s="141" t="s">
        <v>13</v>
      </c>
      <c r="K41" s="141" t="s">
        <v>13</v>
      </c>
      <c r="L41" s="141" t="s">
        <v>13</v>
      </c>
      <c r="M41" s="141" t="s">
        <v>13</v>
      </c>
      <c r="N41" s="139" t="s">
        <v>12</v>
      </c>
      <c r="O41" s="140" t="s">
        <v>22</v>
      </c>
      <c r="P41" s="7">
        <f t="shared" si="5"/>
        <v>0</v>
      </c>
      <c r="Q41" s="8">
        <f t="shared" si="7"/>
        <v>3</v>
      </c>
      <c r="R41" s="58">
        <f t="shared" si="6"/>
        <v>0</v>
      </c>
    </row>
    <row r="42" spans="2:18" x14ac:dyDescent="0.25">
      <c r="B42" s="145"/>
      <c r="C42" s="33">
        <v>13</v>
      </c>
      <c r="D42" s="53"/>
      <c r="E42" s="34" t="s">
        <v>56</v>
      </c>
      <c r="F42" s="143"/>
      <c r="G42" s="139"/>
      <c r="H42" s="139"/>
      <c r="I42" s="141"/>
      <c r="J42" s="141"/>
      <c r="K42" s="141"/>
      <c r="L42" s="141"/>
      <c r="M42" s="141"/>
      <c r="N42" s="139"/>
      <c r="O42" s="140"/>
      <c r="P42" s="7">
        <f t="shared" si="5"/>
        <v>0</v>
      </c>
      <c r="Q42" s="8">
        <f>COUNTIF(F42:O42,"X")</f>
        <v>0</v>
      </c>
      <c r="R42" s="58" t="e">
        <f t="shared" si="6"/>
        <v>#DIV/0!</v>
      </c>
    </row>
    <row r="43" spans="2:18" x14ac:dyDescent="0.25">
      <c r="B43" s="145"/>
      <c r="C43" s="33">
        <v>14</v>
      </c>
      <c r="D43" s="53"/>
      <c r="E43" s="34" t="s">
        <v>57</v>
      </c>
      <c r="F43" s="140" t="s">
        <v>22</v>
      </c>
      <c r="G43" s="139" t="s">
        <v>12</v>
      </c>
      <c r="H43" s="139" t="s">
        <v>12</v>
      </c>
      <c r="I43" s="141" t="s">
        <v>13</v>
      </c>
      <c r="J43" s="141" t="s">
        <v>13</v>
      </c>
      <c r="K43" s="141" t="s">
        <v>13</v>
      </c>
      <c r="L43" s="141" t="s">
        <v>13</v>
      </c>
      <c r="M43" s="139" t="s">
        <v>12</v>
      </c>
      <c r="N43" s="141" t="s">
        <v>13</v>
      </c>
      <c r="O43" s="140" t="s">
        <v>22</v>
      </c>
      <c r="P43" s="7">
        <f t="shared" si="5"/>
        <v>0</v>
      </c>
      <c r="Q43" s="8">
        <f t="shared" si="7"/>
        <v>3</v>
      </c>
      <c r="R43" s="58">
        <f t="shared" si="6"/>
        <v>0</v>
      </c>
    </row>
    <row r="44" spans="2:18" x14ac:dyDescent="0.25">
      <c r="B44" s="145"/>
      <c r="C44" s="33">
        <v>15</v>
      </c>
      <c r="D44" s="53"/>
      <c r="E44" s="34" t="s">
        <v>58</v>
      </c>
      <c r="F44" s="140"/>
      <c r="G44" s="139"/>
      <c r="H44" s="139"/>
      <c r="I44" s="141"/>
      <c r="J44" s="141"/>
      <c r="K44" s="141"/>
      <c r="L44" s="141"/>
      <c r="M44" s="139"/>
      <c r="N44" s="141"/>
      <c r="O44" s="140"/>
      <c r="P44" s="7">
        <f t="shared" si="5"/>
        <v>0</v>
      </c>
      <c r="Q44" s="8">
        <f t="shared" si="7"/>
        <v>0</v>
      </c>
      <c r="R44" s="58" t="e">
        <f t="shared" si="6"/>
        <v>#DIV/0!</v>
      </c>
    </row>
    <row r="45" spans="2:18" x14ac:dyDescent="0.25">
      <c r="B45" s="145"/>
      <c r="C45" s="33">
        <v>16</v>
      </c>
      <c r="D45" s="53"/>
      <c r="E45" s="34" t="s">
        <v>59</v>
      </c>
      <c r="F45" s="140" t="s">
        <v>22</v>
      </c>
      <c r="G45" s="139" t="s">
        <v>12</v>
      </c>
      <c r="H45" s="139" t="s">
        <v>12</v>
      </c>
      <c r="I45" s="141" t="s">
        <v>13</v>
      </c>
      <c r="J45" s="141" t="s">
        <v>13</v>
      </c>
      <c r="K45" s="141" t="s">
        <v>13</v>
      </c>
      <c r="L45" s="141" t="s">
        <v>13</v>
      </c>
      <c r="M45" s="139" t="s">
        <v>12</v>
      </c>
      <c r="N45" s="141" t="s">
        <v>13</v>
      </c>
      <c r="O45" s="140" t="s">
        <v>22</v>
      </c>
      <c r="P45" s="7">
        <f t="shared" si="5"/>
        <v>0</v>
      </c>
      <c r="Q45" s="8">
        <f t="shared" si="7"/>
        <v>3</v>
      </c>
      <c r="R45" s="58">
        <f t="shared" si="6"/>
        <v>0</v>
      </c>
    </row>
    <row r="46" spans="2:18" x14ac:dyDescent="0.25">
      <c r="B46" s="145"/>
      <c r="C46" s="33">
        <v>17</v>
      </c>
      <c r="D46" s="53"/>
      <c r="E46" s="34" t="s">
        <v>60</v>
      </c>
      <c r="F46" s="140"/>
      <c r="G46" s="139"/>
      <c r="H46" s="139"/>
      <c r="I46" s="141"/>
      <c r="J46" s="141"/>
      <c r="K46" s="141"/>
      <c r="L46" s="141"/>
      <c r="M46" s="139"/>
      <c r="N46" s="141"/>
      <c r="O46" s="140"/>
      <c r="P46" s="7">
        <f t="shared" si="5"/>
        <v>0</v>
      </c>
      <c r="Q46" s="8">
        <f t="shared" si="7"/>
        <v>0</v>
      </c>
      <c r="R46" s="58" t="e">
        <f t="shared" si="6"/>
        <v>#DIV/0!</v>
      </c>
    </row>
    <row r="47" spans="2:18" x14ac:dyDescent="0.25">
      <c r="B47" s="145"/>
      <c r="C47" s="33">
        <v>18</v>
      </c>
      <c r="D47" s="53"/>
      <c r="E47" s="34" t="s">
        <v>61</v>
      </c>
      <c r="F47" s="2" t="s">
        <v>11</v>
      </c>
      <c r="G47" s="73" t="s">
        <v>12</v>
      </c>
      <c r="H47" s="73" t="s">
        <v>12</v>
      </c>
      <c r="I47" s="73" t="s">
        <v>12</v>
      </c>
      <c r="J47" s="68" t="s">
        <v>13</v>
      </c>
      <c r="K47" s="68" t="s">
        <v>13</v>
      </c>
      <c r="L47" s="68" t="s">
        <v>13</v>
      </c>
      <c r="M47" s="68" t="s">
        <v>13</v>
      </c>
      <c r="N47" s="69" t="s">
        <v>12</v>
      </c>
      <c r="O47" s="2" t="s">
        <v>11</v>
      </c>
      <c r="P47" s="7">
        <f t="shared" si="5"/>
        <v>2</v>
      </c>
      <c r="Q47" s="8">
        <f t="shared" si="7"/>
        <v>4</v>
      </c>
      <c r="R47" s="58">
        <f t="shared" si="6"/>
        <v>0.33333333333333331</v>
      </c>
    </row>
    <row r="48" spans="2:18" x14ac:dyDescent="0.25">
      <c r="B48" s="145"/>
      <c r="C48" s="33">
        <v>19</v>
      </c>
      <c r="D48" s="53"/>
      <c r="E48" s="34" t="s">
        <v>62</v>
      </c>
      <c r="F48" s="2" t="s">
        <v>11</v>
      </c>
      <c r="G48" s="73" t="s">
        <v>12</v>
      </c>
      <c r="H48" s="73" t="s">
        <v>12</v>
      </c>
      <c r="I48" s="73" t="s">
        <v>12</v>
      </c>
      <c r="J48" s="68" t="s">
        <v>13</v>
      </c>
      <c r="K48" s="68" t="s">
        <v>13</v>
      </c>
      <c r="L48" s="2" t="s">
        <v>11</v>
      </c>
      <c r="M48" s="68" t="s">
        <v>13</v>
      </c>
      <c r="N48" s="68" t="s">
        <v>13</v>
      </c>
      <c r="O48" s="2" t="s">
        <v>11</v>
      </c>
      <c r="P48" s="7">
        <f t="shared" si="5"/>
        <v>3</v>
      </c>
      <c r="Q48" s="8">
        <f t="shared" si="7"/>
        <v>3</v>
      </c>
      <c r="R48" s="58">
        <f t="shared" si="6"/>
        <v>0.5</v>
      </c>
    </row>
    <row r="49" spans="2:18" x14ac:dyDescent="0.25">
      <c r="B49" s="145"/>
      <c r="C49" s="33">
        <v>20</v>
      </c>
      <c r="D49" s="53"/>
      <c r="E49" s="34" t="s">
        <v>63</v>
      </c>
      <c r="F49" s="2" t="s">
        <v>11</v>
      </c>
      <c r="G49" s="73" t="s">
        <v>12</v>
      </c>
      <c r="H49" s="73" t="s">
        <v>12</v>
      </c>
      <c r="I49" s="68" t="s">
        <v>13</v>
      </c>
      <c r="J49" s="68" t="s">
        <v>13</v>
      </c>
      <c r="K49" s="68" t="s">
        <v>13</v>
      </c>
      <c r="L49" s="68" t="s">
        <v>13</v>
      </c>
      <c r="M49" s="68" t="s">
        <v>13</v>
      </c>
      <c r="N49" s="69" t="s">
        <v>12</v>
      </c>
      <c r="O49" s="2" t="s">
        <v>11</v>
      </c>
      <c r="P49" s="7">
        <f t="shared" si="5"/>
        <v>2</v>
      </c>
      <c r="Q49" s="8">
        <f t="shared" si="7"/>
        <v>3</v>
      </c>
      <c r="R49" s="58">
        <f t="shared" si="6"/>
        <v>0.4</v>
      </c>
    </row>
    <row r="50" spans="2:18" x14ac:dyDescent="0.25">
      <c r="B50" s="145"/>
      <c r="C50" s="33">
        <v>21</v>
      </c>
      <c r="D50" s="53"/>
      <c r="E50" s="34" t="s">
        <v>64</v>
      </c>
      <c r="F50" s="2" t="s">
        <v>11</v>
      </c>
      <c r="G50" s="68" t="s">
        <v>13</v>
      </c>
      <c r="H50" s="68" t="s">
        <v>13</v>
      </c>
      <c r="I50" s="68" t="s">
        <v>13</v>
      </c>
      <c r="J50" s="68" t="s">
        <v>13</v>
      </c>
      <c r="K50" s="68" t="s">
        <v>13</v>
      </c>
      <c r="L50" s="68" t="s">
        <v>13</v>
      </c>
      <c r="M50" s="68" t="s">
        <v>13</v>
      </c>
      <c r="N50" s="69" t="s">
        <v>12</v>
      </c>
      <c r="O50" s="2" t="s">
        <v>11</v>
      </c>
      <c r="P50" s="7">
        <f t="shared" si="5"/>
        <v>2</v>
      </c>
      <c r="Q50" s="8">
        <f t="shared" si="7"/>
        <v>1</v>
      </c>
      <c r="R50" s="58">
        <f t="shared" si="6"/>
        <v>0.66666666666666663</v>
      </c>
    </row>
    <row r="51" spans="2:18" x14ac:dyDescent="0.25">
      <c r="B51" s="145"/>
      <c r="C51" s="33">
        <v>22</v>
      </c>
      <c r="D51" s="53"/>
      <c r="E51" s="34" t="s">
        <v>65</v>
      </c>
      <c r="F51" s="2" t="s">
        <v>11</v>
      </c>
      <c r="G51" s="68" t="s">
        <v>13</v>
      </c>
      <c r="H51" s="68" t="s">
        <v>13</v>
      </c>
      <c r="I51" s="68" t="s">
        <v>13</v>
      </c>
      <c r="J51" s="68" t="s">
        <v>13</v>
      </c>
      <c r="K51" s="68" t="s">
        <v>13</v>
      </c>
      <c r="L51" s="68" t="s">
        <v>13</v>
      </c>
      <c r="M51" s="68" t="s">
        <v>13</v>
      </c>
      <c r="N51" s="69" t="s">
        <v>12</v>
      </c>
      <c r="O51" s="2" t="s">
        <v>11</v>
      </c>
      <c r="P51" s="7">
        <f t="shared" si="5"/>
        <v>2</v>
      </c>
      <c r="Q51" s="8">
        <f t="shared" si="7"/>
        <v>1</v>
      </c>
      <c r="R51" s="58">
        <f t="shared" si="6"/>
        <v>0.66666666666666663</v>
      </c>
    </row>
    <row r="52" spans="2:18" x14ac:dyDescent="0.25">
      <c r="B52" s="145"/>
      <c r="C52" s="33">
        <v>23</v>
      </c>
      <c r="D52" s="53"/>
      <c r="E52" s="34" t="s">
        <v>66</v>
      </c>
      <c r="F52" s="63" t="s">
        <v>12</v>
      </c>
      <c r="G52" s="68" t="s">
        <v>13</v>
      </c>
      <c r="H52" s="68" t="s">
        <v>13</v>
      </c>
      <c r="I52" s="68" t="s">
        <v>13</v>
      </c>
      <c r="J52" s="68" t="s">
        <v>13</v>
      </c>
      <c r="K52" s="68" t="s">
        <v>13</v>
      </c>
      <c r="L52" s="68" t="s">
        <v>13</v>
      </c>
      <c r="M52" s="68" t="s">
        <v>13</v>
      </c>
      <c r="N52" s="69" t="s">
        <v>12</v>
      </c>
      <c r="O52" s="2" t="s">
        <v>11</v>
      </c>
      <c r="P52" s="7">
        <f t="shared" si="5"/>
        <v>1</v>
      </c>
      <c r="Q52" s="8">
        <f t="shared" si="7"/>
        <v>2</v>
      </c>
      <c r="R52" s="58">
        <f t="shared" si="6"/>
        <v>0.33333333333333331</v>
      </c>
    </row>
    <row r="53" spans="2:18" x14ac:dyDescent="0.25">
      <c r="B53" s="145"/>
      <c r="C53" s="33">
        <v>24</v>
      </c>
      <c r="D53" s="53"/>
      <c r="E53" s="34" t="s">
        <v>67</v>
      </c>
      <c r="F53" s="2" t="s">
        <v>11</v>
      </c>
      <c r="G53" s="68" t="s">
        <v>13</v>
      </c>
      <c r="H53" s="68" t="s">
        <v>13</v>
      </c>
      <c r="I53" s="68" t="s">
        <v>13</v>
      </c>
      <c r="J53" s="68" t="s">
        <v>13</v>
      </c>
      <c r="K53" s="68" t="s">
        <v>13</v>
      </c>
      <c r="L53" s="68" t="s">
        <v>13</v>
      </c>
      <c r="M53" s="68" t="s">
        <v>13</v>
      </c>
      <c r="N53" s="69" t="s">
        <v>12</v>
      </c>
      <c r="O53" s="2" t="s">
        <v>11</v>
      </c>
      <c r="P53" s="7">
        <f t="shared" si="5"/>
        <v>2</v>
      </c>
      <c r="Q53" s="8">
        <f t="shared" si="7"/>
        <v>1</v>
      </c>
      <c r="R53" s="58">
        <f t="shared" si="6"/>
        <v>0.66666666666666663</v>
      </c>
    </row>
    <row r="54" spans="2:18" x14ac:dyDescent="0.25">
      <c r="B54" s="145"/>
      <c r="C54" s="33">
        <v>25</v>
      </c>
      <c r="D54" s="53"/>
      <c r="E54" s="34" t="s">
        <v>68</v>
      </c>
      <c r="F54" s="2" t="s">
        <v>11</v>
      </c>
      <c r="G54" s="68" t="s">
        <v>13</v>
      </c>
      <c r="H54" s="68" t="s">
        <v>13</v>
      </c>
      <c r="I54" s="68" t="s">
        <v>13</v>
      </c>
      <c r="J54" s="68" t="s">
        <v>13</v>
      </c>
      <c r="K54" s="68" t="s">
        <v>13</v>
      </c>
      <c r="L54" s="68" t="s">
        <v>13</v>
      </c>
      <c r="M54" s="68" t="s">
        <v>13</v>
      </c>
      <c r="N54" s="69" t="s">
        <v>12</v>
      </c>
      <c r="O54" s="2" t="s">
        <v>11</v>
      </c>
      <c r="P54" s="7">
        <f t="shared" si="5"/>
        <v>2</v>
      </c>
      <c r="Q54" s="8">
        <f t="shared" si="7"/>
        <v>1</v>
      </c>
      <c r="R54" s="58">
        <f t="shared" si="6"/>
        <v>0.66666666666666663</v>
      </c>
    </row>
    <row r="55" spans="2:18" x14ac:dyDescent="0.25">
      <c r="B55" s="145"/>
      <c r="C55" s="33">
        <v>26</v>
      </c>
      <c r="D55" s="53"/>
      <c r="E55" s="34" t="s">
        <v>69</v>
      </c>
      <c r="F55" s="2" t="s">
        <v>11</v>
      </c>
      <c r="G55" s="68" t="s">
        <v>13</v>
      </c>
      <c r="H55" s="68" t="s">
        <v>13</v>
      </c>
      <c r="I55" s="68" t="s">
        <v>13</v>
      </c>
      <c r="J55" s="68" t="s">
        <v>13</v>
      </c>
      <c r="K55" s="68" t="s">
        <v>13</v>
      </c>
      <c r="L55" s="68" t="s">
        <v>13</v>
      </c>
      <c r="M55" s="68" t="s">
        <v>13</v>
      </c>
      <c r="N55" s="69" t="s">
        <v>12</v>
      </c>
      <c r="O55" s="2" t="s">
        <v>11</v>
      </c>
      <c r="P55" s="7">
        <f t="shared" si="5"/>
        <v>2</v>
      </c>
      <c r="Q55" s="8">
        <f t="shared" si="7"/>
        <v>1</v>
      </c>
      <c r="R55" s="58">
        <f t="shared" si="6"/>
        <v>0.66666666666666663</v>
      </c>
    </row>
    <row r="56" spans="2:18" x14ac:dyDescent="0.25">
      <c r="B56" s="145"/>
      <c r="C56" s="33">
        <v>27</v>
      </c>
      <c r="D56" s="53"/>
      <c r="E56" s="34" t="s">
        <v>70</v>
      </c>
      <c r="F56" s="2" t="s">
        <v>11</v>
      </c>
      <c r="G56" s="68" t="s">
        <v>13</v>
      </c>
      <c r="H56" s="68" t="s">
        <v>13</v>
      </c>
      <c r="I56" s="68" t="s">
        <v>13</v>
      </c>
      <c r="J56" s="68" t="s">
        <v>13</v>
      </c>
      <c r="K56" s="68" t="s">
        <v>13</v>
      </c>
      <c r="L56" s="68" t="s">
        <v>13</v>
      </c>
      <c r="M56" s="68" t="s">
        <v>13</v>
      </c>
      <c r="N56" s="69" t="s">
        <v>12</v>
      </c>
      <c r="O56" s="2" t="s">
        <v>11</v>
      </c>
      <c r="P56" s="7">
        <f t="shared" si="5"/>
        <v>2</v>
      </c>
      <c r="Q56" s="8">
        <f t="shared" si="7"/>
        <v>1</v>
      </c>
      <c r="R56" s="58">
        <f t="shared" si="6"/>
        <v>0.66666666666666663</v>
      </c>
    </row>
    <row r="57" spans="2:18" x14ac:dyDescent="0.25">
      <c r="B57" s="145"/>
      <c r="C57" s="33">
        <v>28</v>
      </c>
      <c r="D57" s="53"/>
      <c r="E57" s="34" t="s">
        <v>71</v>
      </c>
      <c r="F57" s="2" t="s">
        <v>11</v>
      </c>
      <c r="G57" s="68" t="s">
        <v>13</v>
      </c>
      <c r="H57" s="68" t="s">
        <v>13</v>
      </c>
      <c r="I57" s="68" t="s">
        <v>13</v>
      </c>
      <c r="J57" s="68" t="s">
        <v>13</v>
      </c>
      <c r="K57" s="68" t="s">
        <v>13</v>
      </c>
      <c r="L57" s="2" t="s">
        <v>11</v>
      </c>
      <c r="M57" s="68" t="s">
        <v>13</v>
      </c>
      <c r="N57" s="68" t="s">
        <v>13</v>
      </c>
      <c r="O57" s="2" t="s">
        <v>11</v>
      </c>
      <c r="P57" s="7">
        <f t="shared" si="5"/>
        <v>3</v>
      </c>
      <c r="Q57" s="8">
        <f t="shared" si="7"/>
        <v>0</v>
      </c>
      <c r="R57" s="58">
        <f t="shared" si="6"/>
        <v>1</v>
      </c>
    </row>
    <row r="58" spans="2:18" ht="15.75" thickBot="1" x14ac:dyDescent="0.3">
      <c r="B58" s="145"/>
      <c r="C58" s="35">
        <v>29</v>
      </c>
      <c r="D58" s="54"/>
      <c r="E58" s="36" t="s">
        <v>72</v>
      </c>
      <c r="F58" s="25" t="s">
        <v>11</v>
      </c>
      <c r="G58" s="20" t="s">
        <v>13</v>
      </c>
      <c r="H58" s="20" t="s">
        <v>13</v>
      </c>
      <c r="I58" s="20" t="s">
        <v>13</v>
      </c>
      <c r="J58" s="20" t="s">
        <v>13</v>
      </c>
      <c r="K58" s="20" t="s">
        <v>13</v>
      </c>
      <c r="L58" s="25" t="s">
        <v>11</v>
      </c>
      <c r="M58" s="20" t="s">
        <v>13</v>
      </c>
      <c r="N58" s="20" t="s">
        <v>13</v>
      </c>
      <c r="O58" s="25" t="s">
        <v>11</v>
      </c>
      <c r="P58" s="23">
        <f t="shared" si="5"/>
        <v>3</v>
      </c>
      <c r="Q58" s="24">
        <f t="shared" si="7"/>
        <v>0</v>
      </c>
      <c r="R58" s="58">
        <f t="shared" si="6"/>
        <v>1</v>
      </c>
    </row>
    <row r="59" spans="2:18" x14ac:dyDescent="0.25">
      <c r="B59" s="146"/>
      <c r="C59" s="152" t="s">
        <v>35</v>
      </c>
      <c r="D59" s="152"/>
      <c r="E59" s="152"/>
      <c r="F59" s="40">
        <f>COUNTIF(F30:F58,"O ")</f>
        <v>17</v>
      </c>
      <c r="G59" s="40">
        <f t="shared" ref="G59:O59" si="8">COUNTIF(G30:G58,"O ")</f>
        <v>0</v>
      </c>
      <c r="H59" s="40">
        <f t="shared" si="8"/>
        <v>0</v>
      </c>
      <c r="I59" s="40">
        <f t="shared" si="8"/>
        <v>0</v>
      </c>
      <c r="J59" s="40">
        <f t="shared" si="8"/>
        <v>0</v>
      </c>
      <c r="K59" s="40">
        <f t="shared" si="8"/>
        <v>0</v>
      </c>
      <c r="L59" s="40">
        <f t="shared" si="8"/>
        <v>4</v>
      </c>
      <c r="M59" s="40">
        <f t="shared" si="8"/>
        <v>0</v>
      </c>
      <c r="N59" s="40">
        <f t="shared" si="8"/>
        <v>0</v>
      </c>
      <c r="O59" s="41">
        <f t="shared" si="8"/>
        <v>19</v>
      </c>
      <c r="P59" s="48">
        <f>SUM(P30:P58)</f>
        <v>40</v>
      </c>
      <c r="Q59" s="49">
        <f>SUM(Q38:Q58)</f>
        <v>36</v>
      </c>
    </row>
    <row r="60" spans="2:18" ht="15.75" thickBot="1" x14ac:dyDescent="0.3">
      <c r="B60" s="147"/>
      <c r="C60" s="153"/>
      <c r="D60" s="153"/>
      <c r="E60" s="153"/>
      <c r="F60" s="42">
        <f>COUNTIF(F30:F58,"X")</f>
        <v>2</v>
      </c>
      <c r="G60" s="42">
        <f t="shared" ref="G60:O60" si="9">COUNTIF(G30:G58,"X")</f>
        <v>14</v>
      </c>
      <c r="H60" s="42">
        <f t="shared" si="9"/>
        <v>14</v>
      </c>
      <c r="I60" s="42">
        <f t="shared" si="9"/>
        <v>3</v>
      </c>
      <c r="J60" s="42">
        <f t="shared" si="9"/>
        <v>0</v>
      </c>
      <c r="K60" s="42">
        <f t="shared" si="9"/>
        <v>0</v>
      </c>
      <c r="L60" s="42">
        <f t="shared" si="9"/>
        <v>0</v>
      </c>
      <c r="M60" s="42">
        <f t="shared" si="9"/>
        <v>5</v>
      </c>
      <c r="N60" s="42">
        <f t="shared" si="9"/>
        <v>14</v>
      </c>
      <c r="O60" s="43">
        <f t="shared" si="9"/>
        <v>0</v>
      </c>
      <c r="P60" s="44">
        <f>P59/(P59+Q59)</f>
        <v>0.52631578947368418</v>
      </c>
      <c r="Q60" s="45">
        <f>Q59/(Q59+P59)</f>
        <v>0.47368421052631576</v>
      </c>
    </row>
  </sheetData>
  <mergeCells count="123">
    <mergeCell ref="B4:B6"/>
    <mergeCell ref="C4:C6"/>
    <mergeCell ref="F4:O4"/>
    <mergeCell ref="P4:P6"/>
    <mergeCell ref="Q4:Q6"/>
    <mergeCell ref="F5:H5"/>
    <mergeCell ref="I5:K5"/>
    <mergeCell ref="L5:N5"/>
    <mergeCell ref="D4:E6"/>
    <mergeCell ref="K8:K10"/>
    <mergeCell ref="L8:L10"/>
    <mergeCell ref="M8:M10"/>
    <mergeCell ref="N8:N10"/>
    <mergeCell ref="O8:O10"/>
    <mergeCell ref="F11:F13"/>
    <mergeCell ref="G11:G13"/>
    <mergeCell ref="H11:H13"/>
    <mergeCell ref="I11:I13"/>
    <mergeCell ref="J11:J13"/>
    <mergeCell ref="F8:F10"/>
    <mergeCell ref="G8:G10"/>
    <mergeCell ref="H8:H10"/>
    <mergeCell ref="I8:I10"/>
    <mergeCell ref="J8:J10"/>
    <mergeCell ref="K11:K13"/>
    <mergeCell ref="L11:L13"/>
    <mergeCell ref="M11:M13"/>
    <mergeCell ref="N11:N13"/>
    <mergeCell ref="O11:O13"/>
    <mergeCell ref="O14:O15"/>
    <mergeCell ref="F16:F18"/>
    <mergeCell ref="G16:G18"/>
    <mergeCell ref="H16:H18"/>
    <mergeCell ref="I16:I18"/>
    <mergeCell ref="J16:J18"/>
    <mergeCell ref="K16:K18"/>
    <mergeCell ref="L16:L18"/>
    <mergeCell ref="M16:M18"/>
    <mergeCell ref="N16:N18"/>
    <mergeCell ref="O16:O18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H19:H20"/>
    <mergeCell ref="I19:I20"/>
    <mergeCell ref="J19:J20"/>
    <mergeCell ref="N24:N25"/>
    <mergeCell ref="O24:O25"/>
    <mergeCell ref="C28:E29"/>
    <mergeCell ref="K19:K20"/>
    <mergeCell ref="L19:L20"/>
    <mergeCell ref="M19:M20"/>
    <mergeCell ref="N19:N20"/>
    <mergeCell ref="O19:O20"/>
    <mergeCell ref="F24:F25"/>
    <mergeCell ref="G24:G25"/>
    <mergeCell ref="H24:H25"/>
    <mergeCell ref="I24:I25"/>
    <mergeCell ref="J24:J25"/>
    <mergeCell ref="B30:B60"/>
    <mergeCell ref="F31:F32"/>
    <mergeCell ref="G31:G32"/>
    <mergeCell ref="H31:H32"/>
    <mergeCell ref="I31:I32"/>
    <mergeCell ref="J31:J32"/>
    <mergeCell ref="K24:K25"/>
    <mergeCell ref="L24:L25"/>
    <mergeCell ref="M24:M25"/>
    <mergeCell ref="B7:B29"/>
    <mergeCell ref="K31:K32"/>
    <mergeCell ref="L31:L32"/>
    <mergeCell ref="M31:M32"/>
    <mergeCell ref="F41:F42"/>
    <mergeCell ref="G41:G42"/>
    <mergeCell ref="H41:H42"/>
    <mergeCell ref="I41:I42"/>
    <mergeCell ref="J41:J42"/>
    <mergeCell ref="K41:K42"/>
    <mergeCell ref="L41:L42"/>
    <mergeCell ref="M41:M42"/>
    <mergeCell ref="C59:E60"/>
    <mergeCell ref="F19:F20"/>
    <mergeCell ref="G19:G20"/>
    <mergeCell ref="N31:N32"/>
    <mergeCell ref="O31:O32"/>
    <mergeCell ref="F33:F34"/>
    <mergeCell ref="G33:G34"/>
    <mergeCell ref="H33:H34"/>
    <mergeCell ref="I33:I34"/>
    <mergeCell ref="J33:J34"/>
    <mergeCell ref="K33:K34"/>
    <mergeCell ref="L33:L34"/>
    <mergeCell ref="M33:M34"/>
    <mergeCell ref="N33:N34"/>
    <mergeCell ref="O33:O34"/>
    <mergeCell ref="N41:N42"/>
    <mergeCell ref="O41:O42"/>
    <mergeCell ref="F43:F44"/>
    <mergeCell ref="G43:G44"/>
    <mergeCell ref="H43:H44"/>
    <mergeCell ref="I43:I44"/>
    <mergeCell ref="J43:J44"/>
    <mergeCell ref="K45:K46"/>
    <mergeCell ref="L45:L46"/>
    <mergeCell ref="M45:M46"/>
    <mergeCell ref="N45:N46"/>
    <mergeCell ref="O45:O46"/>
    <mergeCell ref="K43:K44"/>
    <mergeCell ref="L43:L44"/>
    <mergeCell ref="M43:M44"/>
    <mergeCell ref="N43:N44"/>
    <mergeCell ref="O43:O44"/>
    <mergeCell ref="F45:F46"/>
    <mergeCell ref="G45:G46"/>
    <mergeCell ref="H45:H46"/>
    <mergeCell ref="I45:I46"/>
    <mergeCell ref="J45:J46"/>
  </mergeCells>
  <conditionalFormatting sqref="R7:R2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{D86B0BD3-0636-4E71-ABD0-FA46F9B066D0}</x14:id>
        </ext>
      </extLst>
    </cfRule>
  </conditionalFormatting>
  <conditionalFormatting sqref="R30:R5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{71348BA7-7FB4-4A92-A95F-6B69A1D20F4F}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6B0BD3-0636-4E71-ABD0-FA46F9B066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R7:R28</xm:sqref>
        </x14:conditionalFormatting>
        <x14:conditionalFormatting xmlns:xm="http://schemas.microsoft.com/office/excel/2006/main">
          <x14:cfRule type="dataBar" id="{71348BA7-7FB4-4A92-A95F-6B69A1D20F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R30:R58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E5913-078C-488E-906A-63F4BDCA5B4B}">
  <dimension ref="B2:T60"/>
  <sheetViews>
    <sheetView topLeftCell="A14" zoomScale="71" zoomScaleNormal="71" workbookViewId="0">
      <selection activeCell="I38" sqref="I38"/>
    </sheetView>
  </sheetViews>
  <sheetFormatPr defaultRowHeight="15" x14ac:dyDescent="0.25"/>
  <cols>
    <col min="1" max="1" width="3.28515625" customWidth="1"/>
    <col min="2" max="2" width="13.140625" customWidth="1"/>
    <col min="3" max="4" width="5.140625" style="1" customWidth="1"/>
    <col min="5" max="5" width="15.140625" style="1" customWidth="1"/>
    <col min="6" max="15" width="13.42578125" style="1" customWidth="1"/>
    <col min="16" max="17" width="12.85546875" customWidth="1"/>
    <col min="18" max="18" width="26.42578125" customWidth="1"/>
  </cols>
  <sheetData>
    <row r="2" spans="2:20" ht="25.5" x14ac:dyDescent="0.35">
      <c r="B2" s="27" t="s">
        <v>77</v>
      </c>
    </row>
    <row r="3" spans="2:20" ht="15.75" thickBot="1" x14ac:dyDescent="0.3">
      <c r="B3" s="26"/>
    </row>
    <row r="4" spans="2:20" x14ac:dyDescent="0.25">
      <c r="B4" s="163" t="s">
        <v>38</v>
      </c>
      <c r="C4" s="166" t="s">
        <v>0</v>
      </c>
      <c r="D4" s="178" t="s">
        <v>1</v>
      </c>
      <c r="E4" s="179"/>
      <c r="F4" s="169" t="s">
        <v>2</v>
      </c>
      <c r="G4" s="169"/>
      <c r="H4" s="169"/>
      <c r="I4" s="169"/>
      <c r="J4" s="169"/>
      <c r="K4" s="169"/>
      <c r="L4" s="169"/>
      <c r="M4" s="169"/>
      <c r="N4" s="169"/>
      <c r="O4" s="170"/>
      <c r="P4" s="171" t="s">
        <v>36</v>
      </c>
      <c r="Q4" s="174" t="s">
        <v>37</v>
      </c>
    </row>
    <row r="5" spans="2:20" x14ac:dyDescent="0.25">
      <c r="B5" s="164"/>
      <c r="C5" s="167"/>
      <c r="D5" s="180"/>
      <c r="E5" s="181"/>
      <c r="F5" s="177" t="s">
        <v>3</v>
      </c>
      <c r="G5" s="177"/>
      <c r="H5" s="177"/>
      <c r="I5" s="177" t="s">
        <v>40</v>
      </c>
      <c r="J5" s="177"/>
      <c r="K5" s="177"/>
      <c r="L5" s="177" t="s">
        <v>4</v>
      </c>
      <c r="M5" s="177"/>
      <c r="N5" s="177"/>
      <c r="O5" s="9" t="s">
        <v>5</v>
      </c>
      <c r="P5" s="172"/>
      <c r="Q5" s="175"/>
    </row>
    <row r="6" spans="2:20" ht="29.25" customHeight="1" thickBot="1" x14ac:dyDescent="0.3">
      <c r="B6" s="165"/>
      <c r="C6" s="168"/>
      <c r="D6" s="182"/>
      <c r="E6" s="183"/>
      <c r="F6" s="55" t="s">
        <v>46</v>
      </c>
      <c r="G6" s="55" t="s">
        <v>45</v>
      </c>
      <c r="H6" s="56" t="s">
        <v>6</v>
      </c>
      <c r="I6" s="56" t="s">
        <v>7</v>
      </c>
      <c r="J6" s="55" t="s">
        <v>41</v>
      </c>
      <c r="K6" s="55" t="s">
        <v>42</v>
      </c>
      <c r="L6" s="56" t="s">
        <v>8</v>
      </c>
      <c r="M6" s="55" t="s">
        <v>43</v>
      </c>
      <c r="N6" s="56" t="s">
        <v>9</v>
      </c>
      <c r="O6" s="18" t="s">
        <v>44</v>
      </c>
      <c r="P6" s="173"/>
      <c r="Q6" s="176"/>
      <c r="R6" s="57" t="s">
        <v>75</v>
      </c>
      <c r="S6" t="s">
        <v>78</v>
      </c>
      <c r="T6" s="89" t="s">
        <v>79</v>
      </c>
    </row>
    <row r="7" spans="2:20" x14ac:dyDescent="0.25">
      <c r="B7" s="144" t="s">
        <v>39</v>
      </c>
      <c r="C7" s="37">
        <v>1</v>
      </c>
      <c r="D7" s="77"/>
      <c r="E7" s="74" t="s">
        <v>10</v>
      </c>
      <c r="F7" s="10">
        <v>11.4</v>
      </c>
      <c r="G7" s="11">
        <v>2.2999999999999998</v>
      </c>
      <c r="H7" s="12" t="s">
        <v>13</v>
      </c>
      <c r="I7" s="13" t="s">
        <v>13</v>
      </c>
      <c r="J7" s="13" t="s">
        <v>13</v>
      </c>
      <c r="K7" s="13" t="s">
        <v>13</v>
      </c>
      <c r="L7" s="13" t="s">
        <v>13</v>
      </c>
      <c r="M7" s="14">
        <v>4.0199999999999996</v>
      </c>
      <c r="N7" s="13" t="s">
        <v>13</v>
      </c>
      <c r="O7" s="15">
        <v>9.5299999999999994</v>
      </c>
      <c r="P7" s="16">
        <v>20.93</v>
      </c>
      <c r="Q7" s="17">
        <v>9.5299999999999994</v>
      </c>
      <c r="R7" s="58">
        <f t="shared" ref="R7:R28" si="0">P7/(P7+Q7)</f>
        <v>0.68713066316480631</v>
      </c>
      <c r="S7">
        <f>P7+Q7</f>
        <v>30.46</v>
      </c>
      <c r="T7">
        <v>54</v>
      </c>
    </row>
    <row r="8" spans="2:20" x14ac:dyDescent="0.25">
      <c r="B8" s="145"/>
      <c r="C8" s="38">
        <v>2</v>
      </c>
      <c r="D8" s="78"/>
      <c r="E8" s="75" t="s">
        <v>14</v>
      </c>
      <c r="F8" s="139">
        <v>9.2799999999999994</v>
      </c>
      <c r="G8" s="139">
        <v>10.88</v>
      </c>
      <c r="H8" s="139">
        <v>26.4</v>
      </c>
      <c r="I8" s="141" t="s">
        <v>13</v>
      </c>
      <c r="J8" s="141" t="s">
        <v>13</v>
      </c>
      <c r="K8" s="141" t="s">
        <v>13</v>
      </c>
      <c r="L8" s="141" t="s">
        <v>13</v>
      </c>
      <c r="M8" s="141" t="s">
        <v>13</v>
      </c>
      <c r="N8" s="139">
        <v>3.75</v>
      </c>
      <c r="O8" s="162">
        <v>9.1</v>
      </c>
      <c r="P8" s="7">
        <v>9.1</v>
      </c>
      <c r="Q8" s="8">
        <v>53.53</v>
      </c>
      <c r="R8" s="58">
        <f t="shared" si="0"/>
        <v>0.14529778061631804</v>
      </c>
      <c r="S8">
        <f t="shared" ref="S8:S27" si="1">P8+Q8</f>
        <v>62.63</v>
      </c>
      <c r="T8">
        <v>99.4</v>
      </c>
    </row>
    <row r="9" spans="2:20" x14ac:dyDescent="0.25">
      <c r="B9" s="145"/>
      <c r="C9" s="38">
        <v>3</v>
      </c>
      <c r="D9" s="78"/>
      <c r="E9" s="75" t="s">
        <v>15</v>
      </c>
      <c r="F9" s="139"/>
      <c r="G9" s="139"/>
      <c r="H9" s="139"/>
      <c r="I9" s="141"/>
      <c r="J9" s="141"/>
      <c r="K9" s="141"/>
      <c r="L9" s="141"/>
      <c r="M9" s="141"/>
      <c r="N9" s="139"/>
      <c r="O9" s="162"/>
      <c r="P9" s="7">
        <v>9.1</v>
      </c>
      <c r="Q9" s="8">
        <v>53.53</v>
      </c>
      <c r="R9" s="58">
        <f t="shared" si="0"/>
        <v>0.14529778061631804</v>
      </c>
      <c r="S9">
        <f t="shared" si="1"/>
        <v>62.63</v>
      </c>
      <c r="T9">
        <v>99.4</v>
      </c>
    </row>
    <row r="10" spans="2:20" x14ac:dyDescent="0.25">
      <c r="B10" s="145"/>
      <c r="C10" s="38">
        <v>4</v>
      </c>
      <c r="D10" s="78"/>
      <c r="E10" s="75" t="s">
        <v>16</v>
      </c>
      <c r="F10" s="139"/>
      <c r="G10" s="139"/>
      <c r="H10" s="139"/>
      <c r="I10" s="141"/>
      <c r="J10" s="141"/>
      <c r="K10" s="141"/>
      <c r="L10" s="141"/>
      <c r="M10" s="141"/>
      <c r="N10" s="139"/>
      <c r="O10" s="162"/>
      <c r="P10" s="7">
        <v>9.1</v>
      </c>
      <c r="Q10" s="8">
        <v>53.53</v>
      </c>
      <c r="R10" s="58">
        <f t="shared" si="0"/>
        <v>0.14529778061631804</v>
      </c>
      <c r="S10">
        <f t="shared" si="1"/>
        <v>62.63</v>
      </c>
      <c r="T10">
        <v>99.4</v>
      </c>
    </row>
    <row r="11" spans="2:20" x14ac:dyDescent="0.25">
      <c r="B11" s="145"/>
      <c r="C11" s="38">
        <v>5</v>
      </c>
      <c r="D11" s="78"/>
      <c r="E11" s="75" t="s">
        <v>17</v>
      </c>
      <c r="F11" s="139">
        <v>6.15</v>
      </c>
      <c r="G11" s="139">
        <v>7.88</v>
      </c>
      <c r="H11" s="139">
        <v>26.4</v>
      </c>
      <c r="I11" s="141" t="s">
        <v>13</v>
      </c>
      <c r="J11" s="141" t="s">
        <v>13</v>
      </c>
      <c r="K11" s="141" t="s">
        <v>13</v>
      </c>
      <c r="L11" s="141" t="s">
        <v>13</v>
      </c>
      <c r="M11" s="141" t="s">
        <v>13</v>
      </c>
      <c r="N11" s="139">
        <v>3.75</v>
      </c>
      <c r="O11" s="162">
        <v>9.1</v>
      </c>
      <c r="P11" s="7">
        <v>9.1</v>
      </c>
      <c r="Q11" s="8">
        <v>44.18</v>
      </c>
      <c r="R11" s="58">
        <f t="shared" si="0"/>
        <v>0.17079579579579579</v>
      </c>
      <c r="S11">
        <f t="shared" si="1"/>
        <v>53.28</v>
      </c>
      <c r="T11">
        <v>61.13</v>
      </c>
    </row>
    <row r="12" spans="2:20" x14ac:dyDescent="0.25">
      <c r="B12" s="145"/>
      <c r="C12" s="38">
        <v>6</v>
      </c>
      <c r="D12" s="78"/>
      <c r="E12" s="75" t="s">
        <v>18</v>
      </c>
      <c r="F12" s="139"/>
      <c r="G12" s="139"/>
      <c r="H12" s="139"/>
      <c r="I12" s="141"/>
      <c r="J12" s="141"/>
      <c r="K12" s="141"/>
      <c r="L12" s="141"/>
      <c r="M12" s="141"/>
      <c r="N12" s="139"/>
      <c r="O12" s="162"/>
      <c r="P12" s="7">
        <v>9.1</v>
      </c>
      <c r="Q12" s="8">
        <v>44.18</v>
      </c>
      <c r="R12" s="58">
        <f t="shared" si="0"/>
        <v>0.17079579579579579</v>
      </c>
      <c r="S12">
        <f t="shared" si="1"/>
        <v>53.28</v>
      </c>
      <c r="T12">
        <v>61.13</v>
      </c>
    </row>
    <row r="13" spans="2:20" x14ac:dyDescent="0.25">
      <c r="B13" s="145"/>
      <c r="C13" s="38">
        <v>7</v>
      </c>
      <c r="D13" s="78"/>
      <c r="E13" s="75" t="s">
        <v>19</v>
      </c>
      <c r="F13" s="139"/>
      <c r="G13" s="139"/>
      <c r="H13" s="139"/>
      <c r="I13" s="141"/>
      <c r="J13" s="141"/>
      <c r="K13" s="141"/>
      <c r="L13" s="141"/>
      <c r="M13" s="141"/>
      <c r="N13" s="139"/>
      <c r="O13" s="162"/>
      <c r="P13" s="7">
        <v>9.1</v>
      </c>
      <c r="Q13" s="8">
        <v>44.18</v>
      </c>
      <c r="R13" s="58">
        <f t="shared" si="0"/>
        <v>0.17079579579579579</v>
      </c>
      <c r="S13">
        <f t="shared" si="1"/>
        <v>53.28</v>
      </c>
      <c r="T13">
        <v>61.13</v>
      </c>
    </row>
    <row r="14" spans="2:20" x14ac:dyDescent="0.25">
      <c r="B14" s="145"/>
      <c r="C14" s="38">
        <v>8</v>
      </c>
      <c r="D14" s="79"/>
      <c r="E14" s="75" t="s">
        <v>20</v>
      </c>
      <c r="F14" s="141" t="s">
        <v>13</v>
      </c>
      <c r="G14" s="141" t="s">
        <v>13</v>
      </c>
      <c r="H14" s="139">
        <v>1.6</v>
      </c>
      <c r="I14" s="141" t="s">
        <v>13</v>
      </c>
      <c r="J14" s="141" t="s">
        <v>13</v>
      </c>
      <c r="K14" s="141" t="s">
        <v>13</v>
      </c>
      <c r="L14" s="140">
        <v>3.2</v>
      </c>
      <c r="M14" s="141" t="s">
        <v>13</v>
      </c>
      <c r="N14" s="141" t="s">
        <v>13</v>
      </c>
      <c r="O14" s="162">
        <v>9.1</v>
      </c>
      <c r="P14" s="7">
        <v>1.6</v>
      </c>
      <c r="Q14" s="8">
        <v>13.3</v>
      </c>
      <c r="R14" s="58">
        <f t="shared" si="0"/>
        <v>0.10738255033557047</v>
      </c>
      <c r="S14">
        <f t="shared" si="1"/>
        <v>14.9</v>
      </c>
      <c r="T14">
        <v>48.25</v>
      </c>
    </row>
    <row r="15" spans="2:20" x14ac:dyDescent="0.25">
      <c r="B15" s="145"/>
      <c r="C15" s="38">
        <v>9</v>
      </c>
      <c r="D15" s="79"/>
      <c r="E15" s="75" t="s">
        <v>21</v>
      </c>
      <c r="F15" s="141"/>
      <c r="G15" s="141"/>
      <c r="H15" s="139"/>
      <c r="I15" s="141"/>
      <c r="J15" s="141"/>
      <c r="K15" s="141"/>
      <c r="L15" s="140"/>
      <c r="M15" s="141"/>
      <c r="N15" s="141"/>
      <c r="O15" s="162"/>
      <c r="P15" s="7">
        <v>1.6</v>
      </c>
      <c r="Q15" s="8">
        <v>13.3</v>
      </c>
      <c r="R15" s="58">
        <f t="shared" si="0"/>
        <v>0.10738255033557047</v>
      </c>
      <c r="S15">
        <f t="shared" si="1"/>
        <v>14.9</v>
      </c>
      <c r="T15">
        <v>48.25</v>
      </c>
    </row>
    <row r="16" spans="2:20" x14ac:dyDescent="0.25">
      <c r="B16" s="145"/>
      <c r="C16" s="38">
        <v>10</v>
      </c>
      <c r="D16" s="79"/>
      <c r="E16" s="75" t="s">
        <v>23</v>
      </c>
      <c r="F16" s="141" t="s">
        <v>13</v>
      </c>
      <c r="G16" s="139">
        <v>5.0999999999999996</v>
      </c>
      <c r="H16" s="139">
        <v>5.9</v>
      </c>
      <c r="I16" s="141" t="s">
        <v>13</v>
      </c>
      <c r="J16" s="139">
        <v>12.8</v>
      </c>
      <c r="K16" s="141" t="s">
        <v>13</v>
      </c>
      <c r="L16" s="140">
        <v>3.2</v>
      </c>
      <c r="M16" s="141" t="s">
        <v>13</v>
      </c>
      <c r="N16" s="141" t="s">
        <v>13</v>
      </c>
      <c r="O16" s="162">
        <v>9.1</v>
      </c>
      <c r="P16" s="7">
        <v>9.1</v>
      </c>
      <c r="Q16" s="8">
        <v>23.8</v>
      </c>
      <c r="R16" s="58">
        <f t="shared" si="0"/>
        <v>0.27659574468085107</v>
      </c>
      <c r="S16">
        <f t="shared" si="1"/>
        <v>32.9</v>
      </c>
      <c r="T16" s="98">
        <v>42</v>
      </c>
    </row>
    <row r="17" spans="2:20" x14ac:dyDescent="0.25">
      <c r="B17" s="145"/>
      <c r="C17" s="38">
        <v>11</v>
      </c>
      <c r="D17" s="79"/>
      <c r="E17" s="75" t="s">
        <v>24</v>
      </c>
      <c r="F17" s="141"/>
      <c r="G17" s="139"/>
      <c r="H17" s="139"/>
      <c r="I17" s="141"/>
      <c r="J17" s="139"/>
      <c r="K17" s="141"/>
      <c r="L17" s="140"/>
      <c r="M17" s="141"/>
      <c r="N17" s="141"/>
      <c r="O17" s="162"/>
      <c r="P17" s="7">
        <v>9.1</v>
      </c>
      <c r="Q17" s="8">
        <v>23.8</v>
      </c>
      <c r="R17" s="58">
        <f t="shared" si="0"/>
        <v>0.27659574468085107</v>
      </c>
      <c r="S17">
        <f t="shared" si="1"/>
        <v>32.9</v>
      </c>
      <c r="T17" s="98">
        <v>42</v>
      </c>
    </row>
    <row r="18" spans="2:20" x14ac:dyDescent="0.25">
      <c r="B18" s="145"/>
      <c r="C18" s="38">
        <v>12</v>
      </c>
      <c r="D18" s="79"/>
      <c r="E18" s="75" t="s">
        <v>25</v>
      </c>
      <c r="F18" s="141"/>
      <c r="G18" s="139"/>
      <c r="H18" s="139"/>
      <c r="I18" s="141"/>
      <c r="J18" s="139"/>
      <c r="K18" s="141"/>
      <c r="L18" s="140"/>
      <c r="M18" s="141"/>
      <c r="N18" s="141"/>
      <c r="O18" s="162"/>
      <c r="P18" s="7">
        <v>9.1</v>
      </c>
      <c r="Q18" s="8">
        <v>23.8</v>
      </c>
      <c r="R18" s="58">
        <f t="shared" si="0"/>
        <v>0.27659574468085107</v>
      </c>
      <c r="S18">
        <f t="shared" si="1"/>
        <v>32.9</v>
      </c>
      <c r="T18" s="98">
        <v>42</v>
      </c>
    </row>
    <row r="19" spans="2:20" x14ac:dyDescent="0.25">
      <c r="B19" s="145"/>
      <c r="C19" s="38">
        <v>13</v>
      </c>
      <c r="D19" s="79"/>
      <c r="E19" s="75" t="s">
        <v>26</v>
      </c>
      <c r="F19" s="141" t="s">
        <v>13</v>
      </c>
      <c r="G19" s="139">
        <v>3.7</v>
      </c>
      <c r="H19" s="139">
        <v>10</v>
      </c>
      <c r="I19" s="141" t="s">
        <v>13</v>
      </c>
      <c r="J19" s="141" t="s">
        <v>13</v>
      </c>
      <c r="K19" s="141" t="s">
        <v>13</v>
      </c>
      <c r="L19" s="140">
        <v>3.2</v>
      </c>
      <c r="M19" s="141" t="s">
        <v>13</v>
      </c>
      <c r="N19" s="141" t="s">
        <v>13</v>
      </c>
      <c r="O19" s="162">
        <v>9.1</v>
      </c>
      <c r="P19" s="7">
        <v>9.1</v>
      </c>
      <c r="Q19" s="8">
        <v>23.3</v>
      </c>
      <c r="R19" s="58">
        <f t="shared" si="0"/>
        <v>0.28086419753086422</v>
      </c>
      <c r="S19">
        <f t="shared" si="1"/>
        <v>32.4</v>
      </c>
      <c r="T19">
        <v>48.43</v>
      </c>
    </row>
    <row r="20" spans="2:20" x14ac:dyDescent="0.25">
      <c r="B20" s="145"/>
      <c r="C20" s="38">
        <v>14</v>
      </c>
      <c r="D20" s="79"/>
      <c r="E20" s="75" t="s">
        <v>27</v>
      </c>
      <c r="F20" s="141"/>
      <c r="G20" s="139"/>
      <c r="H20" s="139"/>
      <c r="I20" s="141"/>
      <c r="J20" s="141"/>
      <c r="K20" s="141"/>
      <c r="L20" s="140"/>
      <c r="M20" s="141"/>
      <c r="N20" s="141"/>
      <c r="O20" s="162"/>
      <c r="P20" s="7">
        <v>9.1</v>
      </c>
      <c r="Q20" s="8">
        <v>23.3</v>
      </c>
      <c r="R20" s="58">
        <f t="shared" si="0"/>
        <v>0.28086419753086422</v>
      </c>
      <c r="S20">
        <f t="shared" si="1"/>
        <v>32.4</v>
      </c>
      <c r="T20">
        <v>48.43</v>
      </c>
    </row>
    <row r="21" spans="2:20" x14ac:dyDescent="0.25">
      <c r="B21" s="145"/>
      <c r="C21" s="38">
        <v>15</v>
      </c>
      <c r="D21" s="79"/>
      <c r="E21" s="75" t="s">
        <v>28</v>
      </c>
      <c r="F21" s="2">
        <v>10.5</v>
      </c>
      <c r="G21" s="88" t="s">
        <v>13</v>
      </c>
      <c r="H21" s="88" t="s">
        <v>13</v>
      </c>
      <c r="I21" s="65">
        <v>2.4</v>
      </c>
      <c r="J21" s="68" t="s">
        <v>13</v>
      </c>
      <c r="K21" s="68" t="s">
        <v>13</v>
      </c>
      <c r="L21" s="65">
        <v>3.2</v>
      </c>
      <c r="M21" s="68" t="s">
        <v>13</v>
      </c>
      <c r="N21" s="68" t="s">
        <v>13</v>
      </c>
      <c r="O21" s="70">
        <v>9.1</v>
      </c>
      <c r="P21" s="7">
        <v>25.2</v>
      </c>
      <c r="Q21" s="8">
        <f t="shared" ref="Q21" si="2">COUNTIF(F21:O21,"X")</f>
        <v>0</v>
      </c>
      <c r="R21" s="58">
        <f t="shared" si="0"/>
        <v>1</v>
      </c>
      <c r="S21">
        <f t="shared" si="1"/>
        <v>25.2</v>
      </c>
      <c r="T21">
        <v>49.5</v>
      </c>
    </row>
    <row r="22" spans="2:20" x14ac:dyDescent="0.25">
      <c r="B22" s="145"/>
      <c r="C22" s="38">
        <v>16</v>
      </c>
      <c r="D22" s="79"/>
      <c r="E22" s="75" t="s">
        <v>29</v>
      </c>
      <c r="F22" s="65">
        <v>10.5</v>
      </c>
      <c r="G22" s="69">
        <v>10.5</v>
      </c>
      <c r="H22" s="88" t="s">
        <v>13</v>
      </c>
      <c r="I22" s="65">
        <v>2.4</v>
      </c>
      <c r="J22" s="68" t="s">
        <v>13</v>
      </c>
      <c r="K22" s="68" t="s">
        <v>13</v>
      </c>
      <c r="L22" s="65">
        <v>3.2</v>
      </c>
      <c r="M22" s="68" t="s">
        <v>13</v>
      </c>
      <c r="N22" s="68" t="s">
        <v>13</v>
      </c>
      <c r="O22" s="70">
        <v>9.1</v>
      </c>
      <c r="P22" s="7">
        <v>25.2</v>
      </c>
      <c r="Q22" s="8">
        <v>10.5</v>
      </c>
      <c r="R22" s="58">
        <f t="shared" si="0"/>
        <v>0.70588235294117641</v>
      </c>
      <c r="S22">
        <f t="shared" si="1"/>
        <v>35.700000000000003</v>
      </c>
      <c r="T22">
        <v>45.88</v>
      </c>
    </row>
    <row r="23" spans="2:20" x14ac:dyDescent="0.25">
      <c r="B23" s="145"/>
      <c r="C23" s="38">
        <v>17</v>
      </c>
      <c r="D23" s="78"/>
      <c r="E23" s="75" t="s">
        <v>30</v>
      </c>
      <c r="F23" s="87">
        <v>14.5</v>
      </c>
      <c r="G23" s="69">
        <v>7.55</v>
      </c>
      <c r="H23" s="88" t="s">
        <v>13</v>
      </c>
      <c r="I23" s="68" t="s">
        <v>13</v>
      </c>
      <c r="J23" s="68" t="s">
        <v>13</v>
      </c>
      <c r="K23" s="68" t="s">
        <v>13</v>
      </c>
      <c r="L23" s="68" t="s">
        <v>13</v>
      </c>
      <c r="M23" s="68" t="s">
        <v>13</v>
      </c>
      <c r="N23" s="69">
        <v>3.75</v>
      </c>
      <c r="O23" s="70">
        <v>9.1</v>
      </c>
      <c r="P23" s="7">
        <v>23.6</v>
      </c>
      <c r="Q23" s="8">
        <v>11.3</v>
      </c>
      <c r="R23" s="58">
        <f t="shared" si="0"/>
        <v>0.67621776504297992</v>
      </c>
      <c r="S23">
        <f t="shared" si="1"/>
        <v>34.900000000000006</v>
      </c>
      <c r="T23">
        <v>79.400000000000006</v>
      </c>
    </row>
    <row r="24" spans="2:20" x14ac:dyDescent="0.25">
      <c r="B24" s="145"/>
      <c r="C24" s="38">
        <v>18</v>
      </c>
      <c r="D24" s="78"/>
      <c r="E24" s="75" t="s">
        <v>31</v>
      </c>
      <c r="F24" s="142" t="s">
        <v>13</v>
      </c>
      <c r="G24" s="142" t="s">
        <v>13</v>
      </c>
      <c r="H24" s="148">
        <v>26.5</v>
      </c>
      <c r="I24" s="142" t="s">
        <v>13</v>
      </c>
      <c r="J24" s="148"/>
      <c r="K24" s="148"/>
      <c r="L24" s="150">
        <v>3.2</v>
      </c>
      <c r="M24" s="142" t="s">
        <v>13</v>
      </c>
      <c r="N24" s="142" t="s">
        <v>13</v>
      </c>
      <c r="O24" s="154">
        <v>9.1</v>
      </c>
      <c r="P24" s="7">
        <v>12.3</v>
      </c>
      <c r="Q24" s="8">
        <v>26.5</v>
      </c>
      <c r="R24" s="58">
        <f t="shared" si="0"/>
        <v>0.31701030927835055</v>
      </c>
      <c r="S24">
        <f t="shared" si="1"/>
        <v>38.799999999999997</v>
      </c>
      <c r="T24">
        <v>44.5</v>
      </c>
    </row>
    <row r="25" spans="2:20" x14ac:dyDescent="0.25">
      <c r="B25" s="145"/>
      <c r="C25" s="38">
        <v>19</v>
      </c>
      <c r="D25" s="78"/>
      <c r="E25" s="75" t="s">
        <v>32</v>
      </c>
      <c r="F25" s="143"/>
      <c r="G25" s="143"/>
      <c r="H25" s="149"/>
      <c r="I25" s="143"/>
      <c r="J25" s="149"/>
      <c r="K25" s="149"/>
      <c r="L25" s="151"/>
      <c r="M25" s="143"/>
      <c r="N25" s="143"/>
      <c r="O25" s="155"/>
      <c r="P25" s="7">
        <v>12.3</v>
      </c>
      <c r="Q25" s="8">
        <v>26.5</v>
      </c>
      <c r="R25" s="58">
        <f t="shared" si="0"/>
        <v>0.31701030927835055</v>
      </c>
      <c r="S25">
        <f t="shared" si="1"/>
        <v>38.799999999999997</v>
      </c>
      <c r="T25">
        <v>44.3</v>
      </c>
    </row>
    <row r="26" spans="2:20" x14ac:dyDescent="0.25">
      <c r="B26" s="145"/>
      <c r="C26" s="38">
        <v>20</v>
      </c>
      <c r="D26" s="79"/>
      <c r="E26" s="75" t="s">
        <v>33</v>
      </c>
      <c r="F26" s="65">
        <v>13.4</v>
      </c>
      <c r="G26" s="68">
        <v>17.399999999999999</v>
      </c>
      <c r="H26" s="69">
        <v>29.4</v>
      </c>
      <c r="I26" s="68" t="s">
        <v>13</v>
      </c>
      <c r="J26" s="68" t="s">
        <v>13</v>
      </c>
      <c r="K26" s="68" t="s">
        <v>13</v>
      </c>
      <c r="L26" s="68" t="s">
        <v>13</v>
      </c>
      <c r="M26" s="69">
        <v>4.0199999999999996</v>
      </c>
      <c r="N26" s="68" t="s">
        <v>13</v>
      </c>
      <c r="O26" s="70">
        <v>8.5</v>
      </c>
      <c r="P26" s="7">
        <v>33.42</v>
      </c>
      <c r="Q26" s="8">
        <v>33.6</v>
      </c>
      <c r="R26" s="58">
        <f t="shared" si="0"/>
        <v>0.49865711727842432</v>
      </c>
      <c r="S26">
        <f t="shared" si="1"/>
        <v>67.02000000000001</v>
      </c>
      <c r="T26">
        <v>62</v>
      </c>
    </row>
    <row r="27" spans="2:20" ht="15.75" thickBot="1" x14ac:dyDescent="0.3">
      <c r="B27" s="145"/>
      <c r="C27" s="39">
        <v>21</v>
      </c>
      <c r="D27" s="80"/>
      <c r="E27" s="76" t="s">
        <v>34</v>
      </c>
      <c r="F27" s="19">
        <v>5.3</v>
      </c>
      <c r="G27" s="20">
        <v>25.6</v>
      </c>
      <c r="H27" s="21">
        <v>54.3</v>
      </c>
      <c r="I27" s="20" t="s">
        <v>13</v>
      </c>
      <c r="J27" s="20" t="s">
        <v>13</v>
      </c>
      <c r="K27" s="20" t="s">
        <v>13</v>
      </c>
      <c r="L27" s="20" t="s">
        <v>13</v>
      </c>
      <c r="M27" s="21">
        <v>4.0199999999999996</v>
      </c>
      <c r="N27" s="20" t="s">
        <v>13</v>
      </c>
      <c r="O27" s="22">
        <v>9.5</v>
      </c>
      <c r="P27" s="23">
        <v>40</v>
      </c>
      <c r="Q27" s="24">
        <v>58.32</v>
      </c>
      <c r="R27" s="58">
        <f t="shared" si="0"/>
        <v>0.40683482506102525</v>
      </c>
      <c r="S27">
        <f t="shared" si="1"/>
        <v>98.32</v>
      </c>
      <c r="T27">
        <v>80</v>
      </c>
    </row>
    <row r="28" spans="2:20" x14ac:dyDescent="0.25">
      <c r="B28" s="146"/>
      <c r="C28" s="156" t="s">
        <v>35</v>
      </c>
      <c r="D28" s="157"/>
      <c r="E28" s="158"/>
      <c r="F28" s="66">
        <f>COUNTIF(F7:F27,"O ")</f>
        <v>0</v>
      </c>
      <c r="G28" s="66">
        <f t="shared" ref="G28:O28" si="3">COUNTIF(G7:G27,"O ")</f>
        <v>0</v>
      </c>
      <c r="H28" s="66">
        <f t="shared" si="3"/>
        <v>0</v>
      </c>
      <c r="I28" s="66">
        <f t="shared" si="3"/>
        <v>0</v>
      </c>
      <c r="J28" s="66">
        <f t="shared" si="3"/>
        <v>0</v>
      </c>
      <c r="K28" s="66">
        <f t="shared" si="3"/>
        <v>0</v>
      </c>
      <c r="L28" s="66">
        <f t="shared" si="3"/>
        <v>0</v>
      </c>
      <c r="M28" s="66">
        <f t="shared" si="3"/>
        <v>0</v>
      </c>
      <c r="N28" s="66">
        <f t="shared" si="3"/>
        <v>0</v>
      </c>
      <c r="O28" s="41">
        <f t="shared" si="3"/>
        <v>0</v>
      </c>
      <c r="P28" s="50">
        <f>SUM(P7:P27)</f>
        <v>296.24999999999994</v>
      </c>
      <c r="Q28" s="51">
        <f>SUM(Q7:Q27)</f>
        <v>613.98000000000025</v>
      </c>
      <c r="R28" s="58">
        <f t="shared" si="0"/>
        <v>0.32546718961141674</v>
      </c>
      <c r="S28" s="90"/>
      <c r="T28" s="90"/>
    </row>
    <row r="29" spans="2:20" ht="15.75" thickBot="1" x14ac:dyDescent="0.3">
      <c r="B29" s="147"/>
      <c r="C29" s="159"/>
      <c r="D29" s="160"/>
      <c r="E29" s="161"/>
      <c r="F29" s="67">
        <f>COUNTIF(F7:F27,"X")</f>
        <v>0</v>
      </c>
      <c r="G29" s="67">
        <f t="shared" ref="G29:O29" si="4">COUNTIF(G7:G27,"X")</f>
        <v>0</v>
      </c>
      <c r="H29" s="67">
        <f t="shared" si="4"/>
        <v>0</v>
      </c>
      <c r="I29" s="67">
        <f t="shared" si="4"/>
        <v>0</v>
      </c>
      <c r="J29" s="67">
        <f t="shared" si="4"/>
        <v>0</v>
      </c>
      <c r="K29" s="67">
        <f t="shared" si="4"/>
        <v>0</v>
      </c>
      <c r="L29" s="67">
        <f t="shared" si="4"/>
        <v>0</v>
      </c>
      <c r="M29" s="67">
        <f t="shared" si="4"/>
        <v>0</v>
      </c>
      <c r="N29" s="67">
        <f t="shared" si="4"/>
        <v>0</v>
      </c>
      <c r="O29" s="43">
        <f t="shared" si="4"/>
        <v>0</v>
      </c>
      <c r="P29" s="46">
        <f>P28/(P28+Q28)</f>
        <v>0.32546718961141674</v>
      </c>
      <c r="Q29" s="47">
        <f>Q28/(Q28+P28)</f>
        <v>0.67453281038858315</v>
      </c>
      <c r="S29" s="90"/>
      <c r="T29" s="90"/>
    </row>
    <row r="30" spans="2:20" x14ac:dyDescent="0.25">
      <c r="B30" s="144" t="s">
        <v>73</v>
      </c>
      <c r="C30" s="31">
        <v>1</v>
      </c>
      <c r="D30" s="81"/>
      <c r="E30" s="52" t="s">
        <v>34</v>
      </c>
      <c r="F30" s="10">
        <v>5.3</v>
      </c>
      <c r="G30" s="71">
        <v>25.6</v>
      </c>
      <c r="H30" s="71">
        <v>54.3</v>
      </c>
      <c r="I30" s="72" t="s">
        <v>13</v>
      </c>
      <c r="J30" s="72" t="s">
        <v>13</v>
      </c>
      <c r="K30" s="72" t="s">
        <v>13</v>
      </c>
      <c r="L30" s="72" t="s">
        <v>13</v>
      </c>
      <c r="M30" s="64">
        <v>4.0199999999999996</v>
      </c>
      <c r="N30" s="72" t="s">
        <v>13</v>
      </c>
      <c r="O30" s="10">
        <v>9.5</v>
      </c>
      <c r="P30" s="16">
        <v>60.77</v>
      </c>
      <c r="Q30" s="17">
        <v>79.900000000000006</v>
      </c>
      <c r="R30" s="58">
        <f t="shared" ref="R30:R58" si="5">P30/(P30+Q30)</f>
        <v>0.43200398094831871</v>
      </c>
      <c r="S30">
        <f>Q30+P30</f>
        <v>140.67000000000002</v>
      </c>
      <c r="T30">
        <v>80</v>
      </c>
    </row>
    <row r="31" spans="2:20" x14ac:dyDescent="0.25">
      <c r="B31" s="145"/>
      <c r="C31" s="33">
        <v>2</v>
      </c>
      <c r="D31" s="82"/>
      <c r="E31" s="53" t="s">
        <v>47</v>
      </c>
      <c r="F31" s="148">
        <v>34.4</v>
      </c>
      <c r="G31" s="141" t="s">
        <v>13</v>
      </c>
      <c r="H31" s="139">
        <v>56.4</v>
      </c>
      <c r="I31" s="141" t="s">
        <v>13</v>
      </c>
      <c r="J31" s="141" t="s">
        <v>13</v>
      </c>
      <c r="K31" s="141" t="s">
        <v>13</v>
      </c>
      <c r="L31" s="141" t="s">
        <v>13</v>
      </c>
      <c r="M31" s="141" t="s">
        <v>13</v>
      </c>
      <c r="N31" s="140">
        <v>1.1000000000000001</v>
      </c>
      <c r="O31" s="140">
        <v>10.4</v>
      </c>
      <c r="P31" s="7">
        <v>11.5</v>
      </c>
      <c r="Q31" s="8">
        <v>90.8</v>
      </c>
      <c r="R31" s="58">
        <f t="shared" si="5"/>
        <v>0.11241446725317693</v>
      </c>
      <c r="S31">
        <f t="shared" ref="S31:S58" si="6">Q31+P31</f>
        <v>102.3</v>
      </c>
      <c r="T31">
        <v>52</v>
      </c>
    </row>
    <row r="32" spans="2:20" x14ac:dyDescent="0.25">
      <c r="B32" s="145"/>
      <c r="C32" s="33">
        <v>3</v>
      </c>
      <c r="D32" s="82"/>
      <c r="E32" s="53" t="s">
        <v>48</v>
      </c>
      <c r="F32" s="149"/>
      <c r="G32" s="141"/>
      <c r="H32" s="139"/>
      <c r="I32" s="141"/>
      <c r="J32" s="141"/>
      <c r="K32" s="141"/>
      <c r="L32" s="141"/>
      <c r="M32" s="141"/>
      <c r="N32" s="140"/>
      <c r="O32" s="140"/>
      <c r="P32" s="7">
        <v>11.5</v>
      </c>
      <c r="Q32" s="8">
        <v>90.8</v>
      </c>
      <c r="R32" s="58">
        <f t="shared" si="5"/>
        <v>0.11241446725317693</v>
      </c>
      <c r="S32">
        <f t="shared" si="6"/>
        <v>102.3</v>
      </c>
      <c r="T32">
        <v>52</v>
      </c>
    </row>
    <row r="33" spans="2:20" x14ac:dyDescent="0.25">
      <c r="B33" s="145"/>
      <c r="C33" s="33">
        <v>4</v>
      </c>
      <c r="D33" s="82"/>
      <c r="E33" s="53" t="s">
        <v>49</v>
      </c>
      <c r="F33" s="142" t="s">
        <v>13</v>
      </c>
      <c r="G33" s="139">
        <v>3.7</v>
      </c>
      <c r="H33" s="139">
        <v>3.53</v>
      </c>
      <c r="I33" s="141" t="s">
        <v>13</v>
      </c>
      <c r="J33" s="141" t="s">
        <v>13</v>
      </c>
      <c r="K33" s="141" t="s">
        <v>13</v>
      </c>
      <c r="L33" s="140">
        <v>3.02</v>
      </c>
      <c r="M33" s="141" t="s">
        <v>13</v>
      </c>
      <c r="N33" s="141" t="s">
        <v>13</v>
      </c>
      <c r="O33" s="140">
        <v>8.6</v>
      </c>
      <c r="P33" s="7">
        <v>9.6999999999999993</v>
      </c>
      <c r="Q33" s="8">
        <v>3.7</v>
      </c>
      <c r="R33" s="58">
        <f t="shared" si="5"/>
        <v>0.72388059701492535</v>
      </c>
      <c r="S33">
        <f t="shared" si="6"/>
        <v>13.399999999999999</v>
      </c>
      <c r="T33">
        <v>35</v>
      </c>
    </row>
    <row r="34" spans="2:20" x14ac:dyDescent="0.25">
      <c r="B34" s="145"/>
      <c r="C34" s="33">
        <v>5</v>
      </c>
      <c r="D34" s="82"/>
      <c r="E34" s="53" t="s">
        <v>50</v>
      </c>
      <c r="F34" s="143"/>
      <c r="G34" s="139"/>
      <c r="H34" s="139"/>
      <c r="I34" s="141"/>
      <c r="J34" s="141"/>
      <c r="K34" s="141"/>
      <c r="L34" s="140"/>
      <c r="M34" s="141"/>
      <c r="N34" s="141"/>
      <c r="O34" s="140"/>
      <c r="P34" s="7">
        <v>9.6999999999999993</v>
      </c>
      <c r="Q34" s="8">
        <v>3.7</v>
      </c>
      <c r="R34" s="58">
        <f t="shared" si="5"/>
        <v>0.72388059701492535</v>
      </c>
      <c r="S34">
        <f t="shared" si="6"/>
        <v>13.399999999999999</v>
      </c>
      <c r="T34">
        <v>35</v>
      </c>
    </row>
    <row r="35" spans="2:20" x14ac:dyDescent="0.25">
      <c r="B35" s="145"/>
      <c r="C35" s="33">
        <v>6</v>
      </c>
      <c r="D35" s="82"/>
      <c r="E35" s="53" t="s">
        <v>10</v>
      </c>
      <c r="F35" s="2">
        <v>11.4</v>
      </c>
      <c r="G35" s="73">
        <v>2.2999999999999998</v>
      </c>
      <c r="H35" s="73">
        <v>26.4</v>
      </c>
      <c r="I35" s="68" t="s">
        <v>13</v>
      </c>
      <c r="J35" s="68" t="s">
        <v>13</v>
      </c>
      <c r="K35" s="68" t="s">
        <v>13</v>
      </c>
      <c r="L35" s="68" t="s">
        <v>13</v>
      </c>
      <c r="M35" s="69">
        <v>4.0199999999999996</v>
      </c>
      <c r="N35" s="68" t="s">
        <v>13</v>
      </c>
      <c r="O35" s="2">
        <v>9.5299999999999994</v>
      </c>
      <c r="P35" s="7">
        <v>20.9</v>
      </c>
      <c r="Q35" s="8">
        <v>29.8</v>
      </c>
      <c r="R35" s="58">
        <f t="shared" si="5"/>
        <v>0.4122287968441814</v>
      </c>
      <c r="S35">
        <f t="shared" si="6"/>
        <v>50.7</v>
      </c>
      <c r="T35">
        <v>54</v>
      </c>
    </row>
    <row r="36" spans="2:20" x14ac:dyDescent="0.25">
      <c r="B36" s="145"/>
      <c r="C36" s="33">
        <v>7</v>
      </c>
      <c r="D36" s="82"/>
      <c r="E36" s="53" t="s">
        <v>51</v>
      </c>
      <c r="F36" s="2">
        <v>11.4</v>
      </c>
      <c r="G36" s="73">
        <v>7.3</v>
      </c>
      <c r="H36" s="73">
        <v>26.4</v>
      </c>
      <c r="I36" s="73">
        <v>14.5</v>
      </c>
      <c r="J36" s="68" t="s">
        <v>13</v>
      </c>
      <c r="K36" s="68" t="s">
        <v>13</v>
      </c>
      <c r="L36" s="68" t="s">
        <v>13</v>
      </c>
      <c r="M36" s="68" t="s">
        <v>13</v>
      </c>
      <c r="N36" s="69">
        <v>3.75</v>
      </c>
      <c r="O36" s="2">
        <v>9.5</v>
      </c>
      <c r="P36" s="7">
        <v>20.9</v>
      </c>
      <c r="Q36" s="8">
        <v>29.8</v>
      </c>
      <c r="R36" s="58">
        <f t="shared" si="5"/>
        <v>0.4122287968441814</v>
      </c>
      <c r="S36">
        <f t="shared" si="6"/>
        <v>50.7</v>
      </c>
      <c r="T36">
        <v>60</v>
      </c>
    </row>
    <row r="37" spans="2:20" x14ac:dyDescent="0.25">
      <c r="B37" s="145"/>
      <c r="C37" s="33">
        <v>8</v>
      </c>
      <c r="D37" s="82"/>
      <c r="E37" s="53" t="s">
        <v>33</v>
      </c>
      <c r="F37" s="2">
        <v>13.4</v>
      </c>
      <c r="G37" s="73">
        <v>17.399999999999999</v>
      </c>
      <c r="H37" s="73">
        <v>29.4</v>
      </c>
      <c r="I37" s="68" t="s">
        <v>13</v>
      </c>
      <c r="J37" s="68" t="s">
        <v>13</v>
      </c>
      <c r="K37" s="68" t="s">
        <v>13</v>
      </c>
      <c r="L37" s="2">
        <v>3.02</v>
      </c>
      <c r="M37" s="68" t="s">
        <v>13</v>
      </c>
      <c r="N37" s="68" t="s">
        <v>13</v>
      </c>
      <c r="O37" s="2">
        <v>8.5</v>
      </c>
      <c r="P37" s="7">
        <v>21.9</v>
      </c>
      <c r="Q37" s="8">
        <v>46.8</v>
      </c>
      <c r="R37" s="58">
        <f t="shared" si="5"/>
        <v>0.31877729257641924</v>
      </c>
      <c r="S37">
        <f t="shared" si="6"/>
        <v>68.699999999999989</v>
      </c>
      <c r="T37">
        <v>62</v>
      </c>
    </row>
    <row r="38" spans="2:20" x14ac:dyDescent="0.25">
      <c r="B38" s="145"/>
      <c r="C38" s="33">
        <v>9</v>
      </c>
      <c r="D38" s="82"/>
      <c r="E38" s="53" t="s">
        <v>52</v>
      </c>
      <c r="F38" s="2">
        <v>13.4</v>
      </c>
      <c r="G38" s="73">
        <v>17.399999999999999</v>
      </c>
      <c r="H38" s="73">
        <v>29.4</v>
      </c>
      <c r="I38" s="68" t="s">
        <v>13</v>
      </c>
      <c r="J38" s="68" t="s">
        <v>13</v>
      </c>
      <c r="K38" s="68" t="s">
        <v>13</v>
      </c>
      <c r="L38" s="68" t="s">
        <v>13</v>
      </c>
      <c r="M38" s="68" t="s">
        <v>13</v>
      </c>
      <c r="N38" s="69">
        <v>3.75</v>
      </c>
      <c r="O38" s="2">
        <v>8.5</v>
      </c>
      <c r="P38" s="7">
        <v>21.9</v>
      </c>
      <c r="Q38" s="8">
        <v>47.9</v>
      </c>
      <c r="R38" s="58">
        <f t="shared" si="5"/>
        <v>0.3137535816618911</v>
      </c>
      <c r="S38">
        <f t="shared" si="6"/>
        <v>69.8</v>
      </c>
      <c r="T38">
        <v>68.599999999999994</v>
      </c>
    </row>
    <row r="39" spans="2:20" x14ac:dyDescent="0.25">
      <c r="B39" s="145"/>
      <c r="C39" s="33">
        <v>10</v>
      </c>
      <c r="D39" s="82"/>
      <c r="E39" s="53" t="s">
        <v>53</v>
      </c>
      <c r="F39" s="2">
        <v>13.4</v>
      </c>
      <c r="G39" s="73">
        <v>17.399999999999999</v>
      </c>
      <c r="H39" s="73">
        <v>29.4</v>
      </c>
      <c r="I39" s="68" t="s">
        <v>13</v>
      </c>
      <c r="J39" s="68" t="s">
        <v>13</v>
      </c>
      <c r="K39" s="68" t="s">
        <v>13</v>
      </c>
      <c r="L39" s="68" t="s">
        <v>13</v>
      </c>
      <c r="M39" s="68" t="s">
        <v>13</v>
      </c>
      <c r="N39" s="69">
        <v>3.75</v>
      </c>
      <c r="O39" s="2">
        <v>8.5</v>
      </c>
      <c r="P39" s="7">
        <v>21.9</v>
      </c>
      <c r="Q39" s="8">
        <v>47.9</v>
      </c>
      <c r="R39" s="58">
        <f t="shared" si="5"/>
        <v>0.3137535816618911</v>
      </c>
      <c r="S39">
        <f t="shared" si="6"/>
        <v>69.8</v>
      </c>
      <c r="T39">
        <v>75.7</v>
      </c>
    </row>
    <row r="40" spans="2:20" x14ac:dyDescent="0.25">
      <c r="B40" s="145"/>
      <c r="C40" s="33">
        <v>11</v>
      </c>
      <c r="D40" s="82"/>
      <c r="E40" s="53" t="s">
        <v>54</v>
      </c>
      <c r="F40" s="68" t="s">
        <v>13</v>
      </c>
      <c r="G40" s="73">
        <v>16.5</v>
      </c>
      <c r="H40" s="73">
        <v>9.6</v>
      </c>
      <c r="I40" s="68" t="s">
        <v>13</v>
      </c>
      <c r="J40" s="68" t="s">
        <v>13</v>
      </c>
      <c r="K40" s="68" t="s">
        <v>13</v>
      </c>
      <c r="L40" s="68" t="s">
        <v>13</v>
      </c>
      <c r="M40" s="69">
        <v>4.2</v>
      </c>
      <c r="N40" s="69">
        <v>3.75</v>
      </c>
      <c r="O40" s="2">
        <v>6.56</v>
      </c>
      <c r="P40" s="7">
        <v>6.56</v>
      </c>
      <c r="Q40" s="8">
        <v>29.85</v>
      </c>
      <c r="R40" s="58">
        <f t="shared" si="5"/>
        <v>0.18017028288931608</v>
      </c>
      <c r="S40">
        <f t="shared" si="6"/>
        <v>36.410000000000004</v>
      </c>
      <c r="T40">
        <v>52.5</v>
      </c>
    </row>
    <row r="41" spans="2:20" x14ac:dyDescent="0.25">
      <c r="B41" s="145"/>
      <c r="C41" s="33">
        <v>12</v>
      </c>
      <c r="D41" s="82"/>
      <c r="E41" s="53" t="s">
        <v>55</v>
      </c>
      <c r="F41" s="142" t="s">
        <v>13</v>
      </c>
      <c r="G41" s="139">
        <v>16.5</v>
      </c>
      <c r="H41" s="139">
        <v>9.6</v>
      </c>
      <c r="I41" s="141" t="s">
        <v>13</v>
      </c>
      <c r="J41" s="141" t="s">
        <v>13</v>
      </c>
      <c r="K41" s="141" t="s">
        <v>13</v>
      </c>
      <c r="L41" s="141" t="s">
        <v>13</v>
      </c>
      <c r="M41" s="141" t="s">
        <v>13</v>
      </c>
      <c r="N41" s="139">
        <v>3.75</v>
      </c>
      <c r="O41" s="140">
        <v>6.56</v>
      </c>
      <c r="P41" s="7">
        <v>6.56</v>
      </c>
      <c r="Q41" s="8">
        <v>29.85</v>
      </c>
      <c r="R41" s="58">
        <f t="shared" si="5"/>
        <v>0.18017028288931608</v>
      </c>
      <c r="S41">
        <f t="shared" si="6"/>
        <v>36.410000000000004</v>
      </c>
      <c r="T41">
        <v>72.2</v>
      </c>
    </row>
    <row r="42" spans="2:20" x14ac:dyDescent="0.25">
      <c r="B42" s="145"/>
      <c r="C42" s="33">
        <v>13</v>
      </c>
      <c r="D42" s="82"/>
      <c r="E42" s="53" t="s">
        <v>56</v>
      </c>
      <c r="F42" s="143"/>
      <c r="G42" s="139"/>
      <c r="H42" s="139"/>
      <c r="I42" s="141"/>
      <c r="J42" s="141"/>
      <c r="K42" s="141"/>
      <c r="L42" s="141"/>
      <c r="M42" s="141"/>
      <c r="N42" s="139"/>
      <c r="O42" s="140"/>
      <c r="P42" s="7">
        <v>6.56</v>
      </c>
      <c r="Q42" s="8">
        <v>29.85</v>
      </c>
      <c r="R42" s="58">
        <f t="shared" si="5"/>
        <v>0.18017028288931608</v>
      </c>
      <c r="S42">
        <f t="shared" si="6"/>
        <v>36.410000000000004</v>
      </c>
      <c r="T42">
        <v>72.2</v>
      </c>
    </row>
    <row r="43" spans="2:20" x14ac:dyDescent="0.25">
      <c r="B43" s="145"/>
      <c r="C43" s="33">
        <v>14</v>
      </c>
      <c r="D43" s="82"/>
      <c r="E43" s="53" t="s">
        <v>57</v>
      </c>
      <c r="F43" s="140">
        <v>12.2</v>
      </c>
      <c r="G43" s="141" t="s">
        <v>13</v>
      </c>
      <c r="H43" s="141" t="s">
        <v>13</v>
      </c>
      <c r="I43" s="141" t="s">
        <v>13</v>
      </c>
      <c r="J43" s="141" t="s">
        <v>13</v>
      </c>
      <c r="K43" s="141" t="s">
        <v>13</v>
      </c>
      <c r="L43" s="141" t="s">
        <v>13</v>
      </c>
      <c r="M43" s="139">
        <v>4.0199999999999996</v>
      </c>
      <c r="N43" s="141" t="s">
        <v>13</v>
      </c>
      <c r="O43" s="140">
        <v>9.5</v>
      </c>
      <c r="P43" s="7">
        <v>21.7</v>
      </c>
      <c r="Q43" s="8">
        <v>9.5</v>
      </c>
      <c r="R43" s="58">
        <f t="shared" si="5"/>
        <v>0.69551282051282048</v>
      </c>
      <c r="S43">
        <f t="shared" si="6"/>
        <v>31.2</v>
      </c>
      <c r="T43">
        <v>51.3</v>
      </c>
    </row>
    <row r="44" spans="2:20" x14ac:dyDescent="0.25">
      <c r="B44" s="145"/>
      <c r="C44" s="33">
        <v>15</v>
      </c>
      <c r="D44" s="82"/>
      <c r="E44" s="53" t="s">
        <v>58</v>
      </c>
      <c r="F44" s="140"/>
      <c r="G44" s="141"/>
      <c r="H44" s="141"/>
      <c r="I44" s="141"/>
      <c r="J44" s="141"/>
      <c r="K44" s="141"/>
      <c r="L44" s="141"/>
      <c r="M44" s="139"/>
      <c r="N44" s="141"/>
      <c r="O44" s="140"/>
      <c r="P44" s="7">
        <v>21.7</v>
      </c>
      <c r="Q44" s="8">
        <v>9.5</v>
      </c>
      <c r="R44" s="58">
        <f t="shared" si="5"/>
        <v>0.69551282051282048</v>
      </c>
      <c r="S44">
        <f t="shared" si="6"/>
        <v>31.2</v>
      </c>
      <c r="T44">
        <v>51.3</v>
      </c>
    </row>
    <row r="45" spans="2:20" x14ac:dyDescent="0.25">
      <c r="B45" s="145"/>
      <c r="C45" s="33">
        <v>16</v>
      </c>
      <c r="D45" s="82"/>
      <c r="E45" s="53" t="s">
        <v>59</v>
      </c>
      <c r="F45" s="140">
        <v>12.2</v>
      </c>
      <c r="G45" s="141" t="s">
        <v>13</v>
      </c>
      <c r="H45" s="141" t="s">
        <v>13</v>
      </c>
      <c r="I45" s="141" t="s">
        <v>13</v>
      </c>
      <c r="J45" s="141" t="s">
        <v>13</v>
      </c>
      <c r="K45" s="141" t="s">
        <v>13</v>
      </c>
      <c r="L45" s="141" t="s">
        <v>13</v>
      </c>
      <c r="M45" s="139">
        <v>4.0199999999999996</v>
      </c>
      <c r="N45" s="141" t="s">
        <v>13</v>
      </c>
      <c r="O45" s="140">
        <v>9.5</v>
      </c>
      <c r="P45" s="7">
        <v>21.7</v>
      </c>
      <c r="Q45" s="8">
        <v>9.5</v>
      </c>
      <c r="R45" s="58">
        <f t="shared" si="5"/>
        <v>0.69551282051282048</v>
      </c>
      <c r="S45">
        <f t="shared" si="6"/>
        <v>31.2</v>
      </c>
      <c r="T45">
        <v>57.6</v>
      </c>
    </row>
    <row r="46" spans="2:20" x14ac:dyDescent="0.25">
      <c r="B46" s="145"/>
      <c r="C46" s="33">
        <v>17</v>
      </c>
      <c r="D46" s="82"/>
      <c r="E46" s="53" t="s">
        <v>60</v>
      </c>
      <c r="F46" s="140"/>
      <c r="G46" s="141"/>
      <c r="H46" s="141"/>
      <c r="I46" s="141"/>
      <c r="J46" s="141"/>
      <c r="K46" s="141"/>
      <c r="L46" s="141"/>
      <c r="M46" s="139"/>
      <c r="N46" s="141"/>
      <c r="O46" s="140"/>
      <c r="P46" s="7">
        <v>21.7</v>
      </c>
      <c r="Q46" s="8">
        <v>9.5</v>
      </c>
      <c r="R46" s="58">
        <f t="shared" si="5"/>
        <v>0.69551282051282048</v>
      </c>
      <c r="S46">
        <f t="shared" si="6"/>
        <v>31.2</v>
      </c>
      <c r="T46">
        <v>57.6</v>
      </c>
    </row>
    <row r="47" spans="2:20" x14ac:dyDescent="0.25">
      <c r="B47" s="145"/>
      <c r="C47" s="33">
        <v>18</v>
      </c>
      <c r="D47" s="82"/>
      <c r="E47" s="53" t="s">
        <v>61</v>
      </c>
      <c r="F47" s="2">
        <v>12.2</v>
      </c>
      <c r="G47" s="73">
        <v>2.2999999999999998</v>
      </c>
      <c r="H47" s="86" t="s">
        <v>13</v>
      </c>
      <c r="I47" s="73">
        <v>14.5</v>
      </c>
      <c r="J47" s="68" t="s">
        <v>13</v>
      </c>
      <c r="K47" s="68" t="s">
        <v>13</v>
      </c>
      <c r="L47" s="68" t="s">
        <v>13</v>
      </c>
      <c r="M47" s="68" t="s">
        <v>13</v>
      </c>
      <c r="N47" s="69">
        <v>3.75</v>
      </c>
      <c r="O47" s="2">
        <v>9.5</v>
      </c>
      <c r="P47" s="7">
        <v>21.7</v>
      </c>
      <c r="Q47" s="8">
        <v>6.05</v>
      </c>
      <c r="R47" s="58">
        <f t="shared" si="5"/>
        <v>0.78198198198198199</v>
      </c>
      <c r="S47">
        <f t="shared" si="6"/>
        <v>27.75</v>
      </c>
      <c r="T47">
        <v>45</v>
      </c>
    </row>
    <row r="48" spans="2:20" x14ac:dyDescent="0.25">
      <c r="B48" s="145"/>
      <c r="C48" s="33">
        <v>19</v>
      </c>
      <c r="D48" s="82"/>
      <c r="E48" s="53" t="s">
        <v>62</v>
      </c>
      <c r="F48" s="2">
        <v>10.1</v>
      </c>
      <c r="G48" s="73">
        <v>2.2999999999999998</v>
      </c>
      <c r="H48" s="86" t="s">
        <v>13</v>
      </c>
      <c r="I48" s="73">
        <v>14.5</v>
      </c>
      <c r="J48" s="68" t="s">
        <v>13</v>
      </c>
      <c r="K48" s="68" t="s">
        <v>13</v>
      </c>
      <c r="L48" s="2"/>
      <c r="M48" s="68" t="s">
        <v>13</v>
      </c>
      <c r="N48" s="68" t="s">
        <v>13</v>
      </c>
      <c r="O48" s="2">
        <v>9.5</v>
      </c>
      <c r="P48" s="7">
        <v>19.600000000000001</v>
      </c>
      <c r="Q48" s="8">
        <v>5.67</v>
      </c>
      <c r="R48" s="58">
        <f t="shared" si="5"/>
        <v>0.77562326869806086</v>
      </c>
      <c r="S48">
        <f t="shared" si="6"/>
        <v>25.270000000000003</v>
      </c>
      <c r="T48">
        <v>45</v>
      </c>
    </row>
    <row r="49" spans="2:20" x14ac:dyDescent="0.25">
      <c r="B49" s="145"/>
      <c r="C49" s="33">
        <v>20</v>
      </c>
      <c r="D49" s="82"/>
      <c r="E49" s="53" t="s">
        <v>82</v>
      </c>
      <c r="F49" s="2">
        <v>10.1</v>
      </c>
      <c r="G49" s="73">
        <v>2.2999999999999998</v>
      </c>
      <c r="H49" s="73">
        <v>1.1000000000000001</v>
      </c>
      <c r="I49" s="68" t="s">
        <v>13</v>
      </c>
      <c r="J49" s="68" t="s">
        <v>13</v>
      </c>
      <c r="K49" s="68" t="s">
        <v>13</v>
      </c>
      <c r="L49" s="68" t="s">
        <v>13</v>
      </c>
      <c r="M49" s="68" t="s">
        <v>13</v>
      </c>
      <c r="N49" s="69">
        <v>2.36</v>
      </c>
      <c r="O49" s="2">
        <v>9.5</v>
      </c>
      <c r="P49" s="7">
        <v>19.600000000000001</v>
      </c>
      <c r="Q49" s="8">
        <v>2.36</v>
      </c>
      <c r="R49" s="58">
        <f t="shared" si="5"/>
        <v>0.89253187613843354</v>
      </c>
      <c r="S49">
        <f t="shared" si="6"/>
        <v>21.96</v>
      </c>
      <c r="T49">
        <v>49.7</v>
      </c>
    </row>
    <row r="50" spans="2:20" x14ac:dyDescent="0.25">
      <c r="B50" s="145"/>
      <c r="C50" s="33">
        <v>21</v>
      </c>
      <c r="D50" s="82"/>
      <c r="E50" s="53" t="s">
        <v>64</v>
      </c>
      <c r="F50" s="2">
        <v>10.1</v>
      </c>
      <c r="G50" s="68" t="s">
        <v>13</v>
      </c>
      <c r="H50" s="68" t="s">
        <v>13</v>
      </c>
      <c r="I50" s="85" t="s">
        <v>13</v>
      </c>
      <c r="J50" s="68" t="s">
        <v>13</v>
      </c>
      <c r="K50" s="68" t="s">
        <v>13</v>
      </c>
      <c r="L50" s="68" t="s">
        <v>13</v>
      </c>
      <c r="M50" s="68" t="s">
        <v>13</v>
      </c>
      <c r="N50" s="69">
        <v>2.36</v>
      </c>
      <c r="O50" s="2">
        <v>9.5</v>
      </c>
      <c r="P50" s="7">
        <v>19.600000000000001</v>
      </c>
      <c r="Q50" s="8">
        <v>2.36</v>
      </c>
      <c r="R50" s="58">
        <f t="shared" si="5"/>
        <v>0.89253187613843354</v>
      </c>
      <c r="S50">
        <f t="shared" si="6"/>
        <v>21.96</v>
      </c>
      <c r="T50">
        <v>48.2</v>
      </c>
    </row>
    <row r="51" spans="2:20" x14ac:dyDescent="0.25">
      <c r="B51" s="145"/>
      <c r="C51" s="33">
        <v>22</v>
      </c>
      <c r="D51" s="82"/>
      <c r="E51" s="53" t="s">
        <v>65</v>
      </c>
      <c r="F51" s="2">
        <v>10.1</v>
      </c>
      <c r="G51" s="68" t="s">
        <v>13</v>
      </c>
      <c r="H51" s="68" t="s">
        <v>13</v>
      </c>
      <c r="I51" s="68" t="s">
        <v>13</v>
      </c>
      <c r="J51" s="68" t="s">
        <v>13</v>
      </c>
      <c r="K51" s="68" t="s">
        <v>13</v>
      </c>
      <c r="L51" s="68" t="s">
        <v>13</v>
      </c>
      <c r="M51" s="68" t="s">
        <v>13</v>
      </c>
      <c r="N51" s="69">
        <v>2.36</v>
      </c>
      <c r="O51" s="2">
        <v>9.5</v>
      </c>
      <c r="P51" s="7">
        <v>19.600000000000001</v>
      </c>
      <c r="Q51" s="8">
        <v>2.36</v>
      </c>
      <c r="R51" s="58">
        <f t="shared" si="5"/>
        <v>0.89253187613843354</v>
      </c>
      <c r="S51">
        <f t="shared" si="6"/>
        <v>21.96</v>
      </c>
      <c r="T51">
        <v>48.2</v>
      </c>
    </row>
    <row r="52" spans="2:20" x14ac:dyDescent="0.25">
      <c r="B52" s="145"/>
      <c r="C52" s="33">
        <v>23</v>
      </c>
      <c r="D52" s="82"/>
      <c r="E52" s="53" t="s">
        <v>66</v>
      </c>
      <c r="F52" s="69">
        <v>34.4</v>
      </c>
      <c r="G52" s="68" t="s">
        <v>13</v>
      </c>
      <c r="H52" s="68" t="s">
        <v>13</v>
      </c>
      <c r="I52" s="68" t="s">
        <v>13</v>
      </c>
      <c r="J52" s="68" t="s">
        <v>13</v>
      </c>
      <c r="K52" s="68" t="s">
        <v>13</v>
      </c>
      <c r="L52" s="68" t="s">
        <v>13</v>
      </c>
      <c r="M52" s="68" t="s">
        <v>13</v>
      </c>
      <c r="N52" s="69">
        <v>2.36</v>
      </c>
      <c r="O52" s="2">
        <v>10.4</v>
      </c>
      <c r="P52" s="7">
        <v>10.4</v>
      </c>
      <c r="Q52" s="8">
        <v>35.5</v>
      </c>
      <c r="R52" s="58">
        <f t="shared" si="5"/>
        <v>0.22657952069716777</v>
      </c>
      <c r="S52">
        <f t="shared" si="6"/>
        <v>45.9</v>
      </c>
      <c r="T52">
        <v>61</v>
      </c>
    </row>
    <row r="53" spans="2:20" x14ac:dyDescent="0.25">
      <c r="B53" s="145"/>
      <c r="C53" s="33">
        <v>24</v>
      </c>
      <c r="D53" s="82"/>
      <c r="E53" s="53" t="s">
        <v>67</v>
      </c>
      <c r="F53" s="2"/>
      <c r="G53" s="68" t="s">
        <v>13</v>
      </c>
      <c r="H53" s="68" t="s">
        <v>13</v>
      </c>
      <c r="I53" s="68" t="s">
        <v>13</v>
      </c>
      <c r="J53" s="68" t="s">
        <v>13</v>
      </c>
      <c r="K53" s="68" t="s">
        <v>13</v>
      </c>
      <c r="L53" s="68" t="s">
        <v>13</v>
      </c>
      <c r="M53" s="68" t="s">
        <v>13</v>
      </c>
      <c r="N53" s="69">
        <v>2.36</v>
      </c>
      <c r="O53" s="2">
        <v>10.4</v>
      </c>
      <c r="P53" s="7">
        <v>10.4</v>
      </c>
      <c r="Q53" s="8">
        <v>2.36</v>
      </c>
      <c r="R53" s="58">
        <f t="shared" si="5"/>
        <v>0.8150470219435737</v>
      </c>
      <c r="S53">
        <f t="shared" si="6"/>
        <v>12.76</v>
      </c>
      <c r="T53">
        <v>51.4</v>
      </c>
    </row>
    <row r="54" spans="2:20" x14ac:dyDescent="0.25">
      <c r="B54" s="145"/>
      <c r="C54" s="33">
        <v>25</v>
      </c>
      <c r="D54" s="82"/>
      <c r="E54" s="53" t="s">
        <v>68</v>
      </c>
      <c r="F54" s="2"/>
      <c r="G54" s="68" t="s">
        <v>13</v>
      </c>
      <c r="H54" s="68" t="s">
        <v>13</v>
      </c>
      <c r="I54" s="68" t="s">
        <v>13</v>
      </c>
      <c r="J54" s="68" t="s">
        <v>13</v>
      </c>
      <c r="K54" s="68" t="s">
        <v>13</v>
      </c>
      <c r="L54" s="68" t="s">
        <v>13</v>
      </c>
      <c r="M54" s="68" t="s">
        <v>13</v>
      </c>
      <c r="N54" s="69">
        <v>2.36</v>
      </c>
      <c r="O54" s="2">
        <v>10.4</v>
      </c>
      <c r="P54" s="7">
        <v>10.4</v>
      </c>
      <c r="Q54" s="8">
        <v>2.36</v>
      </c>
      <c r="R54" s="58">
        <f t="shared" si="5"/>
        <v>0.8150470219435737</v>
      </c>
      <c r="S54">
        <f t="shared" si="6"/>
        <v>12.76</v>
      </c>
      <c r="T54">
        <v>48.8</v>
      </c>
    </row>
    <row r="55" spans="2:20" x14ac:dyDescent="0.25">
      <c r="B55" s="145"/>
      <c r="C55" s="33">
        <v>26</v>
      </c>
      <c r="D55" s="82"/>
      <c r="E55" s="53" t="s">
        <v>69</v>
      </c>
      <c r="F55" s="2">
        <v>26.2</v>
      </c>
      <c r="G55" s="84" t="s">
        <v>13</v>
      </c>
      <c r="H55" s="84" t="s">
        <v>13</v>
      </c>
      <c r="I55" s="84" t="s">
        <v>13</v>
      </c>
      <c r="J55" s="84" t="s">
        <v>13</v>
      </c>
      <c r="K55" s="84" t="s">
        <v>13</v>
      </c>
      <c r="L55" s="2">
        <v>1.1000000000000001</v>
      </c>
      <c r="M55" s="84" t="s">
        <v>13</v>
      </c>
      <c r="N55" s="84" t="s">
        <v>13</v>
      </c>
      <c r="O55" s="2">
        <v>9.5</v>
      </c>
      <c r="P55" s="7">
        <v>36.799999999999997</v>
      </c>
      <c r="Q55" s="8">
        <f t="shared" ref="Q55:Q58" si="7">COUNTIF(F55:O55,"X")</f>
        <v>0</v>
      </c>
      <c r="R55" s="58">
        <f t="shared" si="5"/>
        <v>1</v>
      </c>
      <c r="S55">
        <f t="shared" si="6"/>
        <v>36.799999999999997</v>
      </c>
      <c r="T55" s="98">
        <v>48.2</v>
      </c>
    </row>
    <row r="56" spans="2:20" x14ac:dyDescent="0.25">
      <c r="B56" s="145"/>
      <c r="C56" s="33">
        <v>27</v>
      </c>
      <c r="D56" s="82"/>
      <c r="E56" s="53" t="s">
        <v>70</v>
      </c>
      <c r="F56" s="2">
        <v>26.2</v>
      </c>
      <c r="G56" s="68" t="s">
        <v>13</v>
      </c>
      <c r="H56" s="68" t="s">
        <v>13</v>
      </c>
      <c r="I56" s="68" t="s">
        <v>13</v>
      </c>
      <c r="J56" s="68" t="s">
        <v>13</v>
      </c>
      <c r="K56" s="68" t="s">
        <v>13</v>
      </c>
      <c r="L56" s="68" t="s">
        <v>13</v>
      </c>
      <c r="M56" s="68" t="s">
        <v>13</v>
      </c>
      <c r="N56" s="69">
        <v>2.36</v>
      </c>
      <c r="O56" s="2">
        <v>9.5</v>
      </c>
      <c r="P56" s="7">
        <v>35.700000000000003</v>
      </c>
      <c r="Q56" s="8">
        <v>2.36</v>
      </c>
      <c r="R56" s="58">
        <f t="shared" si="5"/>
        <v>0.93799264319495534</v>
      </c>
      <c r="S56">
        <f t="shared" si="6"/>
        <v>38.06</v>
      </c>
      <c r="T56" s="98">
        <v>48.2</v>
      </c>
    </row>
    <row r="57" spans="2:20" x14ac:dyDescent="0.25">
      <c r="B57" s="145"/>
      <c r="C57" s="33">
        <v>28</v>
      </c>
      <c r="D57" s="82"/>
      <c r="E57" s="53" t="s">
        <v>71</v>
      </c>
      <c r="F57" s="2">
        <v>14.6</v>
      </c>
      <c r="G57" s="68" t="s">
        <v>13</v>
      </c>
      <c r="H57" s="68" t="s">
        <v>13</v>
      </c>
      <c r="I57" s="68" t="s">
        <v>13</v>
      </c>
      <c r="J57" s="68" t="s">
        <v>13</v>
      </c>
      <c r="K57" s="68" t="s">
        <v>13</v>
      </c>
      <c r="L57" s="2">
        <v>1.1000000000000001</v>
      </c>
      <c r="M57" s="68" t="s">
        <v>13</v>
      </c>
      <c r="N57" s="68" t="s">
        <v>13</v>
      </c>
      <c r="O57" s="2">
        <v>9.5</v>
      </c>
      <c r="P57" s="7">
        <v>24.1</v>
      </c>
      <c r="Q57" s="8">
        <f t="shared" si="7"/>
        <v>0</v>
      </c>
      <c r="R57" s="58">
        <f t="shared" si="5"/>
        <v>1</v>
      </c>
      <c r="S57">
        <f t="shared" si="6"/>
        <v>24.1</v>
      </c>
      <c r="T57" s="98">
        <v>48.2</v>
      </c>
    </row>
    <row r="58" spans="2:20" ht="15.75" thickBot="1" x14ac:dyDescent="0.3">
      <c r="B58" s="145"/>
      <c r="C58" s="35">
        <v>29</v>
      </c>
      <c r="D58" s="83"/>
      <c r="E58" s="54" t="s">
        <v>72</v>
      </c>
      <c r="F58" s="25">
        <v>14.6</v>
      </c>
      <c r="G58" s="20" t="s">
        <v>13</v>
      </c>
      <c r="H58" s="20" t="s">
        <v>13</v>
      </c>
      <c r="I58" s="20" t="s">
        <v>13</v>
      </c>
      <c r="J58" s="20" t="s">
        <v>13</v>
      </c>
      <c r="K58" s="20" t="s">
        <v>13</v>
      </c>
      <c r="L58" s="25">
        <v>1.1000000000000001</v>
      </c>
      <c r="M58" s="20" t="s">
        <v>13</v>
      </c>
      <c r="N58" s="20" t="s">
        <v>13</v>
      </c>
      <c r="O58" s="25">
        <v>9.5</v>
      </c>
      <c r="P58" s="23">
        <v>24.1</v>
      </c>
      <c r="Q58" s="24">
        <f t="shared" si="7"/>
        <v>0</v>
      </c>
      <c r="R58" s="58">
        <f t="shared" si="5"/>
        <v>1</v>
      </c>
      <c r="S58">
        <f t="shared" si="6"/>
        <v>24.1</v>
      </c>
      <c r="T58">
        <v>48.2</v>
      </c>
    </row>
    <row r="59" spans="2:20" x14ac:dyDescent="0.25">
      <c r="B59" s="146"/>
      <c r="C59" s="152" t="s">
        <v>35</v>
      </c>
      <c r="D59" s="152"/>
      <c r="E59" s="152"/>
      <c r="F59" s="66">
        <f>COUNTIF(F30:F58,"O ")</f>
        <v>0</v>
      </c>
      <c r="G59" s="66">
        <f t="shared" ref="G59:O59" si="8">COUNTIF(G30:G58,"O ")</f>
        <v>0</v>
      </c>
      <c r="H59" s="66">
        <f t="shared" si="8"/>
        <v>0</v>
      </c>
      <c r="I59" s="66">
        <f t="shared" si="8"/>
        <v>0</v>
      </c>
      <c r="J59" s="66">
        <f t="shared" si="8"/>
        <v>0</v>
      </c>
      <c r="K59" s="66">
        <f t="shared" si="8"/>
        <v>0</v>
      </c>
      <c r="L59" s="66">
        <f t="shared" si="8"/>
        <v>0</v>
      </c>
      <c r="M59" s="66">
        <f t="shared" si="8"/>
        <v>0</v>
      </c>
      <c r="N59" s="66">
        <f t="shared" si="8"/>
        <v>0</v>
      </c>
      <c r="O59" s="41">
        <f t="shared" si="8"/>
        <v>0</v>
      </c>
      <c r="P59" s="48">
        <f>SUM(P30:P58)</f>
        <v>569.15000000000009</v>
      </c>
      <c r="Q59" s="49">
        <f>SUM(Q38:Q58)</f>
        <v>284.73000000000008</v>
      </c>
      <c r="S59" s="90"/>
      <c r="T59" s="90"/>
    </row>
    <row r="60" spans="2:20" ht="15.75" thickBot="1" x14ac:dyDescent="0.3">
      <c r="B60" s="147"/>
      <c r="C60" s="153"/>
      <c r="D60" s="153"/>
      <c r="E60" s="153"/>
      <c r="F60" s="67">
        <f>COUNTIF(F30:F58,"X")</f>
        <v>0</v>
      </c>
      <c r="G60" s="67">
        <f t="shared" ref="G60:O60" si="9">COUNTIF(G30:G58,"X")</f>
        <v>0</v>
      </c>
      <c r="H60" s="67">
        <f t="shared" si="9"/>
        <v>0</v>
      </c>
      <c r="I60" s="67">
        <f t="shared" si="9"/>
        <v>0</v>
      </c>
      <c r="J60" s="67">
        <f t="shared" si="9"/>
        <v>0</v>
      </c>
      <c r="K60" s="67">
        <f t="shared" si="9"/>
        <v>0</v>
      </c>
      <c r="L60" s="67">
        <f t="shared" si="9"/>
        <v>0</v>
      </c>
      <c r="M60" s="67">
        <f t="shared" si="9"/>
        <v>0</v>
      </c>
      <c r="N60" s="67">
        <f t="shared" si="9"/>
        <v>0</v>
      </c>
      <c r="O60" s="43">
        <f t="shared" si="9"/>
        <v>0</v>
      </c>
      <c r="P60" s="44">
        <f>P59/(P59+Q59)</f>
        <v>0.66654565044268521</v>
      </c>
      <c r="Q60" s="45">
        <f>Q59/(Q59+P59)</f>
        <v>0.3334543495573149</v>
      </c>
      <c r="S60" s="90"/>
      <c r="T60" s="90"/>
    </row>
  </sheetData>
  <mergeCells count="123">
    <mergeCell ref="B4:B6"/>
    <mergeCell ref="C4:C6"/>
    <mergeCell ref="D4:E6"/>
    <mergeCell ref="F4:O4"/>
    <mergeCell ref="P4:P6"/>
    <mergeCell ref="Q4:Q6"/>
    <mergeCell ref="F5:H5"/>
    <mergeCell ref="I5:K5"/>
    <mergeCell ref="L5:N5"/>
    <mergeCell ref="K8:K10"/>
    <mergeCell ref="L8:L10"/>
    <mergeCell ref="M8:M10"/>
    <mergeCell ref="N8:N10"/>
    <mergeCell ref="O8:O10"/>
    <mergeCell ref="F11:F13"/>
    <mergeCell ref="G11:G13"/>
    <mergeCell ref="H11:H13"/>
    <mergeCell ref="I11:I13"/>
    <mergeCell ref="J11:J13"/>
    <mergeCell ref="F8:F10"/>
    <mergeCell ref="G8:G10"/>
    <mergeCell ref="H8:H10"/>
    <mergeCell ref="I8:I10"/>
    <mergeCell ref="J8:J10"/>
    <mergeCell ref="K11:K13"/>
    <mergeCell ref="L11:L13"/>
    <mergeCell ref="M11:M13"/>
    <mergeCell ref="N11:N13"/>
    <mergeCell ref="O11:O13"/>
    <mergeCell ref="O14:O15"/>
    <mergeCell ref="F16:F18"/>
    <mergeCell ref="G16:G18"/>
    <mergeCell ref="H16:H18"/>
    <mergeCell ref="I16:I18"/>
    <mergeCell ref="J16:J18"/>
    <mergeCell ref="K16:K18"/>
    <mergeCell ref="L16:L18"/>
    <mergeCell ref="M16:M18"/>
    <mergeCell ref="N16:N18"/>
    <mergeCell ref="O16:O18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H19:H20"/>
    <mergeCell ref="I19:I20"/>
    <mergeCell ref="J19:J20"/>
    <mergeCell ref="N24:N25"/>
    <mergeCell ref="O24:O25"/>
    <mergeCell ref="C28:E29"/>
    <mergeCell ref="K19:K20"/>
    <mergeCell ref="L19:L20"/>
    <mergeCell ref="M19:M20"/>
    <mergeCell ref="N19:N20"/>
    <mergeCell ref="O19:O20"/>
    <mergeCell ref="F24:F25"/>
    <mergeCell ref="G24:G25"/>
    <mergeCell ref="H24:H25"/>
    <mergeCell ref="I24:I25"/>
    <mergeCell ref="J24:J25"/>
    <mergeCell ref="B30:B60"/>
    <mergeCell ref="F31:F32"/>
    <mergeCell ref="G31:G32"/>
    <mergeCell ref="H31:H32"/>
    <mergeCell ref="I31:I32"/>
    <mergeCell ref="J31:J32"/>
    <mergeCell ref="K24:K25"/>
    <mergeCell ref="L24:L25"/>
    <mergeCell ref="M24:M25"/>
    <mergeCell ref="B7:B29"/>
    <mergeCell ref="K31:K32"/>
    <mergeCell ref="L31:L32"/>
    <mergeCell ref="M31:M32"/>
    <mergeCell ref="F41:F42"/>
    <mergeCell ref="G41:G42"/>
    <mergeCell ref="H41:H42"/>
    <mergeCell ref="I41:I42"/>
    <mergeCell ref="J41:J42"/>
    <mergeCell ref="K41:K42"/>
    <mergeCell ref="L41:L42"/>
    <mergeCell ref="M41:M42"/>
    <mergeCell ref="C59:E60"/>
    <mergeCell ref="F19:F20"/>
    <mergeCell ref="G19:G20"/>
    <mergeCell ref="N31:N32"/>
    <mergeCell ref="O31:O32"/>
    <mergeCell ref="F33:F34"/>
    <mergeCell ref="G33:G34"/>
    <mergeCell ref="H33:H34"/>
    <mergeCell ref="I33:I34"/>
    <mergeCell ref="J33:J34"/>
    <mergeCell ref="K33:K34"/>
    <mergeCell ref="L33:L34"/>
    <mergeCell ref="M33:M34"/>
    <mergeCell ref="N33:N34"/>
    <mergeCell ref="O33:O34"/>
    <mergeCell ref="N41:N42"/>
    <mergeCell ref="O41:O42"/>
    <mergeCell ref="F43:F44"/>
    <mergeCell ref="G43:G44"/>
    <mergeCell ref="H43:H44"/>
    <mergeCell ref="I43:I44"/>
    <mergeCell ref="J43:J44"/>
    <mergeCell ref="K45:K46"/>
    <mergeCell ref="L45:L46"/>
    <mergeCell ref="M45:M46"/>
    <mergeCell ref="N45:N46"/>
    <mergeCell ref="O45:O46"/>
    <mergeCell ref="K43:K44"/>
    <mergeCell ref="L43:L44"/>
    <mergeCell ref="M43:M44"/>
    <mergeCell ref="N43:N44"/>
    <mergeCell ref="O43:O44"/>
    <mergeCell ref="F45:F46"/>
    <mergeCell ref="G45:G46"/>
    <mergeCell ref="H45:H46"/>
    <mergeCell ref="I45:I46"/>
    <mergeCell ref="J45:J46"/>
  </mergeCells>
  <conditionalFormatting sqref="R7:R28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{EB418685-E9F9-4B6F-B969-38924CDE7EFE}</x14:id>
        </ext>
      </extLst>
    </cfRule>
  </conditionalFormatting>
  <conditionalFormatting sqref="R30:R5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{9FA6CC59-94DA-4E01-BC41-A3D5B2A02BAD}</x14:id>
        </ext>
      </extLst>
    </cfRule>
  </conditionalFormatting>
  <pageMargins left="0.7" right="0.7" top="0.75" bottom="0.75" header="0.3" footer="0.3"/>
  <pageSetup scale="95" orientation="landscape" horizontalDpi="4294967293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418685-E9F9-4B6F-B969-38924CDE7E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R7:R28</xm:sqref>
        </x14:conditionalFormatting>
        <x14:conditionalFormatting xmlns:xm="http://schemas.microsoft.com/office/excel/2006/main">
          <x14:cfRule type="dataBar" id="{9FA6CC59-94DA-4E01-BC41-A3D5B2A02B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R30:R58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E82E9-E6C0-4848-9E3D-CEA1DF8D5FD2}">
  <dimension ref="A1"/>
  <sheetViews>
    <sheetView workbookViewId="0">
      <selection activeCell="H20" sqref="H20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DA63-9094-46EB-8B5D-B0D044609C52}">
  <dimension ref="B2:N60"/>
  <sheetViews>
    <sheetView topLeftCell="A17" zoomScale="71" zoomScaleNormal="71" workbookViewId="0">
      <selection activeCell="K48" sqref="K48"/>
    </sheetView>
  </sheetViews>
  <sheetFormatPr defaultRowHeight="15" x14ac:dyDescent="0.25"/>
  <cols>
    <col min="1" max="1" width="3.28515625" customWidth="1"/>
    <col min="2" max="2" width="13.140625" customWidth="1"/>
    <col min="3" max="4" width="5.140625" style="1" customWidth="1"/>
    <col min="5" max="5" width="15.140625" style="1" customWidth="1"/>
    <col min="6" max="9" width="13.42578125" style="1" customWidth="1"/>
    <col min="10" max="10" width="12.85546875" customWidth="1"/>
    <col min="11" max="11" width="14.42578125" customWidth="1"/>
    <col min="12" max="12" width="26.42578125" customWidth="1"/>
  </cols>
  <sheetData>
    <row r="2" spans="2:14" ht="25.5" x14ac:dyDescent="0.35">
      <c r="B2" s="27" t="s">
        <v>77</v>
      </c>
    </row>
    <row r="3" spans="2:14" ht="15.75" thickBot="1" x14ac:dyDescent="0.3">
      <c r="B3" s="26"/>
    </row>
    <row r="4" spans="2:14" x14ac:dyDescent="0.25">
      <c r="B4" s="163" t="s">
        <v>38</v>
      </c>
      <c r="C4" s="166" t="s">
        <v>0</v>
      </c>
      <c r="D4" s="178" t="s">
        <v>1</v>
      </c>
      <c r="E4" s="179"/>
      <c r="F4" s="169"/>
      <c r="G4" s="169"/>
      <c r="H4" s="169"/>
      <c r="I4" s="170"/>
      <c r="J4" s="184" t="s">
        <v>4</v>
      </c>
      <c r="K4" s="174" t="s">
        <v>80</v>
      </c>
    </row>
    <row r="5" spans="2:14" x14ac:dyDescent="0.25">
      <c r="B5" s="164"/>
      <c r="C5" s="167"/>
      <c r="D5" s="180"/>
      <c r="E5" s="181"/>
      <c r="F5" s="177" t="s">
        <v>4</v>
      </c>
      <c r="G5" s="177"/>
      <c r="H5" s="177"/>
      <c r="I5" s="9" t="s">
        <v>5</v>
      </c>
      <c r="J5" s="185"/>
      <c r="K5" s="175"/>
    </row>
    <row r="6" spans="2:14" ht="29.25" customHeight="1" thickBot="1" x14ac:dyDescent="0.3">
      <c r="B6" s="165"/>
      <c r="C6" s="168"/>
      <c r="D6" s="182"/>
      <c r="E6" s="183"/>
      <c r="F6" s="56" t="s">
        <v>8</v>
      </c>
      <c r="G6" s="55" t="s">
        <v>43</v>
      </c>
      <c r="H6" s="56" t="s">
        <v>9</v>
      </c>
      <c r="I6" s="18" t="s">
        <v>44</v>
      </c>
      <c r="J6" s="186"/>
      <c r="K6" s="176"/>
      <c r="L6" s="57" t="s">
        <v>75</v>
      </c>
      <c r="M6" t="s">
        <v>78</v>
      </c>
      <c r="N6" s="89" t="s">
        <v>79</v>
      </c>
    </row>
    <row r="7" spans="2:14" x14ac:dyDescent="0.25">
      <c r="B7" s="144" t="s">
        <v>39</v>
      </c>
      <c r="C7" s="37">
        <v>1</v>
      </c>
      <c r="D7" s="77"/>
      <c r="E7" s="74" t="s">
        <v>10</v>
      </c>
      <c r="F7" s="13" t="s">
        <v>13</v>
      </c>
      <c r="G7" s="14">
        <v>4.0199999999999996</v>
      </c>
      <c r="H7" s="13" t="s">
        <v>13</v>
      </c>
      <c r="I7" s="15">
        <v>9.5299999999999994</v>
      </c>
      <c r="J7" s="16">
        <v>4.0199999999999996</v>
      </c>
      <c r="K7" s="17">
        <v>9.1</v>
      </c>
      <c r="L7" s="58">
        <f t="shared" ref="L7:L28" si="0">J7/(J7+K7)</f>
        <v>0.30640243902439024</v>
      </c>
      <c r="M7">
        <f>J7+K7</f>
        <v>13.12</v>
      </c>
      <c r="N7">
        <v>54</v>
      </c>
    </row>
    <row r="8" spans="2:14" x14ac:dyDescent="0.25">
      <c r="B8" s="145"/>
      <c r="C8" s="38">
        <v>2</v>
      </c>
      <c r="D8" s="78"/>
      <c r="E8" s="75" t="s">
        <v>14</v>
      </c>
      <c r="F8" s="141" t="s">
        <v>13</v>
      </c>
      <c r="G8" s="141" t="s">
        <v>13</v>
      </c>
      <c r="H8" s="139">
        <v>3.75</v>
      </c>
      <c r="I8" s="162">
        <v>9.1</v>
      </c>
      <c r="J8" s="7">
        <v>3.75</v>
      </c>
      <c r="K8" s="8">
        <v>9.1</v>
      </c>
      <c r="L8" s="58">
        <f t="shared" si="0"/>
        <v>0.29182879377431908</v>
      </c>
      <c r="M8">
        <f t="shared" ref="M8:M27" si="1">J8+K8</f>
        <v>12.85</v>
      </c>
      <c r="N8">
        <v>99.4</v>
      </c>
    </row>
    <row r="9" spans="2:14" x14ac:dyDescent="0.25">
      <c r="B9" s="145"/>
      <c r="C9" s="38">
        <v>3</v>
      </c>
      <c r="D9" s="78"/>
      <c r="E9" s="75" t="s">
        <v>15</v>
      </c>
      <c r="F9" s="141"/>
      <c r="G9" s="141"/>
      <c r="H9" s="139"/>
      <c r="I9" s="162"/>
      <c r="J9" s="7">
        <v>3.75</v>
      </c>
      <c r="K9" s="8">
        <v>9.1</v>
      </c>
      <c r="L9" s="58">
        <f t="shared" si="0"/>
        <v>0.29182879377431908</v>
      </c>
      <c r="M9">
        <f t="shared" si="1"/>
        <v>12.85</v>
      </c>
      <c r="N9">
        <v>99.4</v>
      </c>
    </row>
    <row r="10" spans="2:14" x14ac:dyDescent="0.25">
      <c r="B10" s="145"/>
      <c r="C10" s="38">
        <v>4</v>
      </c>
      <c r="D10" s="78"/>
      <c r="E10" s="75" t="s">
        <v>16</v>
      </c>
      <c r="F10" s="141"/>
      <c r="G10" s="141"/>
      <c r="H10" s="139"/>
      <c r="I10" s="162"/>
      <c r="J10" s="7">
        <v>3.75</v>
      </c>
      <c r="K10" s="8">
        <v>9.1</v>
      </c>
      <c r="L10" s="58">
        <f t="shared" si="0"/>
        <v>0.29182879377431908</v>
      </c>
      <c r="M10">
        <f t="shared" si="1"/>
        <v>12.85</v>
      </c>
      <c r="N10">
        <v>99.4</v>
      </c>
    </row>
    <row r="11" spans="2:14" x14ac:dyDescent="0.25">
      <c r="B11" s="145"/>
      <c r="C11" s="38">
        <v>5</v>
      </c>
      <c r="D11" s="78"/>
      <c r="E11" s="75" t="s">
        <v>17</v>
      </c>
      <c r="F11" s="141" t="s">
        <v>13</v>
      </c>
      <c r="G11" s="141" t="s">
        <v>13</v>
      </c>
      <c r="H11" s="139">
        <v>3.75</v>
      </c>
      <c r="I11" s="162">
        <v>9.1</v>
      </c>
      <c r="J11" s="7">
        <v>3.75</v>
      </c>
      <c r="K11" s="8">
        <v>9.1</v>
      </c>
      <c r="L11" s="58">
        <f t="shared" si="0"/>
        <v>0.29182879377431908</v>
      </c>
      <c r="M11">
        <f t="shared" si="1"/>
        <v>12.85</v>
      </c>
      <c r="N11">
        <v>61.13</v>
      </c>
    </row>
    <row r="12" spans="2:14" x14ac:dyDescent="0.25">
      <c r="B12" s="145"/>
      <c r="C12" s="38">
        <v>6</v>
      </c>
      <c r="D12" s="78"/>
      <c r="E12" s="75" t="s">
        <v>18</v>
      </c>
      <c r="F12" s="141"/>
      <c r="G12" s="141"/>
      <c r="H12" s="139"/>
      <c r="I12" s="162"/>
      <c r="J12" s="7">
        <v>3.75</v>
      </c>
      <c r="K12" s="8">
        <v>9.1</v>
      </c>
      <c r="L12" s="58">
        <f t="shared" si="0"/>
        <v>0.29182879377431908</v>
      </c>
      <c r="M12">
        <f t="shared" si="1"/>
        <v>12.85</v>
      </c>
      <c r="N12">
        <v>61.13</v>
      </c>
    </row>
    <row r="13" spans="2:14" x14ac:dyDescent="0.25">
      <c r="B13" s="145"/>
      <c r="C13" s="38">
        <v>7</v>
      </c>
      <c r="D13" s="78"/>
      <c r="E13" s="75" t="s">
        <v>19</v>
      </c>
      <c r="F13" s="141"/>
      <c r="G13" s="141"/>
      <c r="H13" s="139"/>
      <c r="I13" s="162"/>
      <c r="J13" s="7">
        <v>3.75</v>
      </c>
      <c r="K13" s="8">
        <v>9.1</v>
      </c>
      <c r="L13" s="58">
        <f t="shared" si="0"/>
        <v>0.29182879377431908</v>
      </c>
      <c r="M13">
        <f t="shared" si="1"/>
        <v>12.85</v>
      </c>
      <c r="N13">
        <v>61.13</v>
      </c>
    </row>
    <row r="14" spans="2:14" x14ac:dyDescent="0.25">
      <c r="B14" s="145"/>
      <c r="C14" s="38">
        <v>8</v>
      </c>
      <c r="D14" s="79"/>
      <c r="E14" s="75" t="s">
        <v>20</v>
      </c>
      <c r="F14" s="140">
        <v>3.2</v>
      </c>
      <c r="G14" s="141" t="s">
        <v>13</v>
      </c>
      <c r="H14" s="141" t="s">
        <v>13</v>
      </c>
      <c r="I14" s="162">
        <v>9.1</v>
      </c>
      <c r="J14" s="7">
        <v>3.2</v>
      </c>
      <c r="K14" s="8">
        <v>9.1</v>
      </c>
      <c r="L14" s="58">
        <f t="shared" si="0"/>
        <v>0.26016260162601623</v>
      </c>
      <c r="M14">
        <f t="shared" si="1"/>
        <v>12.3</v>
      </c>
      <c r="N14">
        <v>48.25</v>
      </c>
    </row>
    <row r="15" spans="2:14" x14ac:dyDescent="0.25">
      <c r="B15" s="145"/>
      <c r="C15" s="38">
        <v>9</v>
      </c>
      <c r="D15" s="79"/>
      <c r="E15" s="75" t="s">
        <v>21</v>
      </c>
      <c r="F15" s="140"/>
      <c r="G15" s="141"/>
      <c r="H15" s="141"/>
      <c r="I15" s="162"/>
      <c r="J15" s="7">
        <v>3.2</v>
      </c>
      <c r="K15" s="8">
        <v>9.1</v>
      </c>
      <c r="L15" s="58">
        <f t="shared" si="0"/>
        <v>0.26016260162601623</v>
      </c>
      <c r="M15">
        <f t="shared" si="1"/>
        <v>12.3</v>
      </c>
      <c r="N15">
        <v>48.25</v>
      </c>
    </row>
    <row r="16" spans="2:14" x14ac:dyDescent="0.25">
      <c r="B16" s="145"/>
      <c r="C16" s="38">
        <v>10</v>
      </c>
      <c r="D16" s="79"/>
      <c r="E16" s="75" t="s">
        <v>23</v>
      </c>
      <c r="F16" s="140">
        <v>3.2</v>
      </c>
      <c r="G16" s="141" t="s">
        <v>13</v>
      </c>
      <c r="H16" s="141" t="s">
        <v>13</v>
      </c>
      <c r="I16" s="162">
        <v>9.1</v>
      </c>
      <c r="J16" s="7">
        <v>3.2</v>
      </c>
      <c r="K16" s="8">
        <v>9.1</v>
      </c>
      <c r="L16" s="58">
        <f t="shared" si="0"/>
        <v>0.26016260162601623</v>
      </c>
      <c r="M16">
        <f t="shared" si="1"/>
        <v>12.3</v>
      </c>
      <c r="N16" s="98">
        <v>42</v>
      </c>
    </row>
    <row r="17" spans="2:14" x14ac:dyDescent="0.25">
      <c r="B17" s="145"/>
      <c r="C17" s="38">
        <v>11</v>
      </c>
      <c r="D17" s="79"/>
      <c r="E17" s="75" t="s">
        <v>24</v>
      </c>
      <c r="F17" s="140"/>
      <c r="G17" s="141"/>
      <c r="H17" s="141"/>
      <c r="I17" s="162"/>
      <c r="J17" s="7">
        <v>9.1</v>
      </c>
      <c r="K17" s="8">
        <v>9.1</v>
      </c>
      <c r="L17" s="58">
        <f t="shared" si="0"/>
        <v>0.5</v>
      </c>
      <c r="M17">
        <f t="shared" si="1"/>
        <v>18.2</v>
      </c>
      <c r="N17" s="98">
        <v>42</v>
      </c>
    </row>
    <row r="18" spans="2:14" x14ac:dyDescent="0.25">
      <c r="B18" s="145"/>
      <c r="C18" s="38">
        <v>12</v>
      </c>
      <c r="D18" s="79"/>
      <c r="E18" s="75" t="s">
        <v>25</v>
      </c>
      <c r="F18" s="140"/>
      <c r="G18" s="141"/>
      <c r="H18" s="141"/>
      <c r="I18" s="162"/>
      <c r="J18" s="7">
        <v>9.1</v>
      </c>
      <c r="K18" s="8">
        <v>9.1</v>
      </c>
      <c r="L18" s="58">
        <f t="shared" si="0"/>
        <v>0.5</v>
      </c>
      <c r="M18">
        <f t="shared" si="1"/>
        <v>18.2</v>
      </c>
      <c r="N18" s="98">
        <v>42</v>
      </c>
    </row>
    <row r="19" spans="2:14" x14ac:dyDescent="0.25">
      <c r="B19" s="145"/>
      <c r="C19" s="38">
        <v>13</v>
      </c>
      <c r="D19" s="79"/>
      <c r="E19" s="75" t="s">
        <v>26</v>
      </c>
      <c r="F19" s="140">
        <v>3.2</v>
      </c>
      <c r="G19" s="141" t="s">
        <v>13</v>
      </c>
      <c r="H19" s="141" t="s">
        <v>13</v>
      </c>
      <c r="I19" s="162">
        <v>9.1</v>
      </c>
      <c r="J19" s="7">
        <v>9.1</v>
      </c>
      <c r="K19" s="8">
        <v>9.1</v>
      </c>
      <c r="L19" s="58">
        <f t="shared" si="0"/>
        <v>0.5</v>
      </c>
      <c r="M19">
        <f t="shared" si="1"/>
        <v>18.2</v>
      </c>
      <c r="N19">
        <v>48.43</v>
      </c>
    </row>
    <row r="20" spans="2:14" x14ac:dyDescent="0.25">
      <c r="B20" s="145"/>
      <c r="C20" s="38">
        <v>14</v>
      </c>
      <c r="D20" s="79"/>
      <c r="E20" s="75" t="s">
        <v>27</v>
      </c>
      <c r="F20" s="140"/>
      <c r="G20" s="141"/>
      <c r="H20" s="141"/>
      <c r="I20" s="162"/>
      <c r="J20" s="7">
        <v>9.1</v>
      </c>
      <c r="K20" s="8">
        <v>9.1</v>
      </c>
      <c r="L20" s="58">
        <f t="shared" si="0"/>
        <v>0.5</v>
      </c>
      <c r="M20">
        <f t="shared" si="1"/>
        <v>18.2</v>
      </c>
      <c r="N20">
        <v>48.43</v>
      </c>
    </row>
    <row r="21" spans="2:14" x14ac:dyDescent="0.25">
      <c r="B21" s="145"/>
      <c r="C21" s="38">
        <v>15</v>
      </c>
      <c r="D21" s="79"/>
      <c r="E21" s="75" t="s">
        <v>28</v>
      </c>
      <c r="F21" s="92">
        <v>3.2</v>
      </c>
      <c r="G21" s="93" t="s">
        <v>13</v>
      </c>
      <c r="H21" s="93" t="s">
        <v>13</v>
      </c>
      <c r="I21" s="97">
        <v>9.1</v>
      </c>
      <c r="J21" s="7">
        <v>3.2</v>
      </c>
      <c r="K21" s="8">
        <v>9.1</v>
      </c>
      <c r="L21" s="58">
        <f t="shared" si="0"/>
        <v>0.26016260162601623</v>
      </c>
      <c r="M21">
        <f t="shared" si="1"/>
        <v>12.3</v>
      </c>
      <c r="N21">
        <v>49.5</v>
      </c>
    </row>
    <row r="22" spans="2:14" x14ac:dyDescent="0.25">
      <c r="B22" s="145"/>
      <c r="C22" s="38">
        <v>16</v>
      </c>
      <c r="D22" s="79"/>
      <c r="E22" s="75" t="s">
        <v>29</v>
      </c>
      <c r="F22" s="92">
        <v>3.2</v>
      </c>
      <c r="G22" s="93" t="s">
        <v>13</v>
      </c>
      <c r="H22" s="93" t="s">
        <v>13</v>
      </c>
      <c r="I22" s="97">
        <v>9.1</v>
      </c>
      <c r="J22" s="7">
        <v>3.2</v>
      </c>
      <c r="K22" s="8">
        <v>9.1</v>
      </c>
      <c r="L22" s="58">
        <f t="shared" si="0"/>
        <v>0.26016260162601623</v>
      </c>
      <c r="M22">
        <f t="shared" si="1"/>
        <v>12.3</v>
      </c>
      <c r="N22">
        <v>45.88</v>
      </c>
    </row>
    <row r="23" spans="2:14" x14ac:dyDescent="0.25">
      <c r="B23" s="145"/>
      <c r="C23" s="38">
        <v>17</v>
      </c>
      <c r="D23" s="78"/>
      <c r="E23" s="75" t="s">
        <v>30</v>
      </c>
      <c r="F23" s="93" t="s">
        <v>13</v>
      </c>
      <c r="G23" s="93" t="s">
        <v>13</v>
      </c>
      <c r="H23" s="91">
        <v>3.75</v>
      </c>
      <c r="I23" s="97">
        <v>9.1</v>
      </c>
      <c r="J23" s="7">
        <v>3.75</v>
      </c>
      <c r="K23" s="8">
        <v>9.1</v>
      </c>
      <c r="L23" s="58">
        <f t="shared" si="0"/>
        <v>0.29182879377431908</v>
      </c>
      <c r="M23">
        <f t="shared" si="1"/>
        <v>12.85</v>
      </c>
      <c r="N23">
        <v>79.400000000000006</v>
      </c>
    </row>
    <row r="24" spans="2:14" x14ac:dyDescent="0.25">
      <c r="B24" s="145"/>
      <c r="C24" s="38">
        <v>18</v>
      </c>
      <c r="D24" s="78"/>
      <c r="E24" s="75" t="s">
        <v>31</v>
      </c>
      <c r="F24" s="150">
        <v>3.2</v>
      </c>
      <c r="G24" s="142" t="s">
        <v>13</v>
      </c>
      <c r="H24" s="142" t="s">
        <v>13</v>
      </c>
      <c r="I24" s="154">
        <v>9.1</v>
      </c>
      <c r="J24" s="7">
        <v>3.2</v>
      </c>
      <c r="K24" s="8">
        <v>9.1</v>
      </c>
      <c r="L24" s="58">
        <f t="shared" si="0"/>
        <v>0.26016260162601623</v>
      </c>
      <c r="M24">
        <f t="shared" si="1"/>
        <v>12.3</v>
      </c>
      <c r="N24">
        <v>44.5</v>
      </c>
    </row>
    <row r="25" spans="2:14" x14ac:dyDescent="0.25">
      <c r="B25" s="145"/>
      <c r="C25" s="38">
        <v>19</v>
      </c>
      <c r="D25" s="78"/>
      <c r="E25" s="75" t="s">
        <v>32</v>
      </c>
      <c r="F25" s="151"/>
      <c r="G25" s="143"/>
      <c r="H25" s="143"/>
      <c r="I25" s="155"/>
      <c r="J25" s="7">
        <v>3.2</v>
      </c>
      <c r="K25" s="8">
        <v>9.1</v>
      </c>
      <c r="L25" s="58">
        <f t="shared" si="0"/>
        <v>0.26016260162601623</v>
      </c>
      <c r="M25">
        <f t="shared" si="1"/>
        <v>12.3</v>
      </c>
      <c r="N25">
        <v>44.3</v>
      </c>
    </row>
    <row r="26" spans="2:14" x14ac:dyDescent="0.25">
      <c r="B26" s="145"/>
      <c r="C26" s="38">
        <v>20</v>
      </c>
      <c r="D26" s="79"/>
      <c r="E26" s="75" t="s">
        <v>33</v>
      </c>
      <c r="F26" s="93" t="s">
        <v>13</v>
      </c>
      <c r="G26" s="91">
        <v>4.0199999999999996</v>
      </c>
      <c r="H26" s="93" t="s">
        <v>13</v>
      </c>
      <c r="I26" s="97">
        <v>8.5</v>
      </c>
      <c r="J26" s="7">
        <v>4.0199999999999996</v>
      </c>
      <c r="K26" s="8">
        <v>8.5</v>
      </c>
      <c r="L26" s="58">
        <f t="shared" si="0"/>
        <v>0.32108626198083062</v>
      </c>
      <c r="M26">
        <f t="shared" si="1"/>
        <v>12.52</v>
      </c>
      <c r="N26">
        <v>62</v>
      </c>
    </row>
    <row r="27" spans="2:14" ht="15.75" thickBot="1" x14ac:dyDescent="0.3">
      <c r="B27" s="145"/>
      <c r="C27" s="39">
        <v>21</v>
      </c>
      <c r="D27" s="80"/>
      <c r="E27" s="76" t="s">
        <v>34</v>
      </c>
      <c r="F27" s="20" t="s">
        <v>13</v>
      </c>
      <c r="G27" s="21">
        <v>4.0199999999999996</v>
      </c>
      <c r="H27" s="20" t="s">
        <v>13</v>
      </c>
      <c r="I27" s="22">
        <v>9.5</v>
      </c>
      <c r="J27" s="23">
        <v>4.0199999999999996</v>
      </c>
      <c r="K27" s="24">
        <v>9.1</v>
      </c>
      <c r="L27" s="58">
        <f t="shared" si="0"/>
        <v>0.30640243902439024</v>
      </c>
      <c r="M27">
        <f t="shared" si="1"/>
        <v>13.12</v>
      </c>
      <c r="N27">
        <v>80</v>
      </c>
    </row>
    <row r="28" spans="2:14" x14ac:dyDescent="0.25">
      <c r="B28" s="146"/>
      <c r="C28" s="156" t="s">
        <v>35</v>
      </c>
      <c r="D28" s="157"/>
      <c r="E28" s="158"/>
      <c r="F28" s="95">
        <f t="shared" ref="F28:I28" si="2">COUNTIF(F7:F27,"O ")</f>
        <v>0</v>
      </c>
      <c r="G28" s="95">
        <f t="shared" si="2"/>
        <v>0</v>
      </c>
      <c r="H28" s="95">
        <f t="shared" si="2"/>
        <v>0</v>
      </c>
      <c r="I28" s="41">
        <f t="shared" si="2"/>
        <v>0</v>
      </c>
      <c r="J28" s="50">
        <f>SUM(J7:J27)</f>
        <v>97.110000000000014</v>
      </c>
      <c r="K28" s="51">
        <f>SUM(K7:K27)</f>
        <v>190.49999999999994</v>
      </c>
      <c r="L28" s="58">
        <f t="shared" si="0"/>
        <v>0.33764472723479722</v>
      </c>
      <c r="M28" s="90"/>
      <c r="N28" s="90"/>
    </row>
    <row r="29" spans="2:14" ht="15.75" thickBot="1" x14ac:dyDescent="0.3">
      <c r="B29" s="147"/>
      <c r="C29" s="159"/>
      <c r="D29" s="160"/>
      <c r="E29" s="161"/>
      <c r="F29" s="96">
        <f t="shared" ref="F29:I29" si="3">COUNTIF(F7:F27,"X")</f>
        <v>0</v>
      </c>
      <c r="G29" s="96">
        <f t="shared" si="3"/>
        <v>0</v>
      </c>
      <c r="H29" s="96">
        <f t="shared" si="3"/>
        <v>0</v>
      </c>
      <c r="I29" s="43">
        <f t="shared" si="3"/>
        <v>0</v>
      </c>
      <c r="J29" s="46">
        <f>J28/(J28+K28)</f>
        <v>0.33764472723479722</v>
      </c>
      <c r="K29" s="47">
        <f>K28/(K28+J28)</f>
        <v>0.66235527276520278</v>
      </c>
      <c r="M29" s="90"/>
      <c r="N29" s="90"/>
    </row>
    <row r="30" spans="2:14" x14ac:dyDescent="0.25">
      <c r="B30" s="144" t="s">
        <v>73</v>
      </c>
      <c r="C30" s="31">
        <v>1</v>
      </c>
      <c r="D30" s="81"/>
      <c r="E30" s="52" t="s">
        <v>34</v>
      </c>
      <c r="F30" s="72" t="s">
        <v>13</v>
      </c>
      <c r="G30" s="94">
        <v>4.0199999999999996</v>
      </c>
      <c r="H30" s="72" t="s">
        <v>13</v>
      </c>
      <c r="I30" s="10">
        <v>9.5</v>
      </c>
      <c r="J30" s="16">
        <v>4.0199999999999996</v>
      </c>
      <c r="K30" s="17">
        <v>9.1</v>
      </c>
      <c r="L30" s="58">
        <f t="shared" ref="L30:L58" si="4">J30/(J30+K30)</f>
        <v>0.30640243902439024</v>
      </c>
      <c r="M30">
        <f>K30+J30</f>
        <v>13.12</v>
      </c>
      <c r="N30">
        <v>80</v>
      </c>
    </row>
    <row r="31" spans="2:14" x14ac:dyDescent="0.25">
      <c r="B31" s="145"/>
      <c r="C31" s="33">
        <v>2</v>
      </c>
      <c r="D31" s="82"/>
      <c r="E31" s="53" t="s">
        <v>47</v>
      </c>
      <c r="F31" s="141" t="s">
        <v>13</v>
      </c>
      <c r="G31" s="141" t="s">
        <v>13</v>
      </c>
      <c r="H31" s="140">
        <v>1.1000000000000001</v>
      </c>
      <c r="I31" s="140">
        <v>10.4</v>
      </c>
      <c r="J31" s="7">
        <v>1.1000000000000001</v>
      </c>
      <c r="K31" s="8">
        <v>10.8</v>
      </c>
      <c r="L31" s="58">
        <f t="shared" si="4"/>
        <v>9.2436974789915971E-2</v>
      </c>
      <c r="M31">
        <f t="shared" ref="M31:M58" si="5">K31+J31</f>
        <v>11.9</v>
      </c>
      <c r="N31">
        <v>52</v>
      </c>
    </row>
    <row r="32" spans="2:14" x14ac:dyDescent="0.25">
      <c r="B32" s="145"/>
      <c r="C32" s="33">
        <v>3</v>
      </c>
      <c r="D32" s="82"/>
      <c r="E32" s="53" t="s">
        <v>48</v>
      </c>
      <c r="F32" s="141"/>
      <c r="G32" s="141"/>
      <c r="H32" s="140"/>
      <c r="I32" s="140"/>
      <c r="J32" s="7">
        <v>1.1000000000000001</v>
      </c>
      <c r="K32" s="8">
        <v>10.8</v>
      </c>
      <c r="L32" s="58">
        <f t="shared" si="4"/>
        <v>9.2436974789915971E-2</v>
      </c>
      <c r="M32">
        <f t="shared" si="5"/>
        <v>11.9</v>
      </c>
      <c r="N32">
        <v>52</v>
      </c>
    </row>
    <row r="33" spans="2:14" x14ac:dyDescent="0.25">
      <c r="B33" s="145"/>
      <c r="C33" s="33">
        <v>4</v>
      </c>
      <c r="D33" s="82"/>
      <c r="E33" s="53" t="s">
        <v>49</v>
      </c>
      <c r="F33" s="140">
        <v>3.02</v>
      </c>
      <c r="G33" s="141" t="s">
        <v>13</v>
      </c>
      <c r="H33" s="141" t="s">
        <v>13</v>
      </c>
      <c r="I33" s="140">
        <v>8.6</v>
      </c>
      <c r="J33" s="7">
        <v>3.02</v>
      </c>
      <c r="K33" s="8">
        <v>8.6</v>
      </c>
      <c r="L33" s="58">
        <f t="shared" si="4"/>
        <v>0.25989672977624789</v>
      </c>
      <c r="M33">
        <f t="shared" si="5"/>
        <v>11.62</v>
      </c>
      <c r="N33">
        <v>35</v>
      </c>
    </row>
    <row r="34" spans="2:14" x14ac:dyDescent="0.25">
      <c r="B34" s="145"/>
      <c r="C34" s="33">
        <v>5</v>
      </c>
      <c r="D34" s="82"/>
      <c r="E34" s="53" t="s">
        <v>50</v>
      </c>
      <c r="F34" s="140"/>
      <c r="G34" s="141"/>
      <c r="H34" s="141"/>
      <c r="I34" s="140"/>
      <c r="J34" s="7">
        <v>3.02</v>
      </c>
      <c r="K34" s="8">
        <v>8.6</v>
      </c>
      <c r="L34" s="58">
        <f t="shared" si="4"/>
        <v>0.25989672977624789</v>
      </c>
      <c r="M34">
        <f t="shared" si="5"/>
        <v>11.62</v>
      </c>
      <c r="N34">
        <v>35</v>
      </c>
    </row>
    <row r="35" spans="2:14" x14ac:dyDescent="0.25">
      <c r="B35" s="145"/>
      <c r="C35" s="33">
        <v>6</v>
      </c>
      <c r="D35" s="82"/>
      <c r="E35" s="53" t="s">
        <v>10</v>
      </c>
      <c r="F35" s="93" t="s">
        <v>13</v>
      </c>
      <c r="G35" s="91">
        <v>4.0199999999999996</v>
      </c>
      <c r="H35" s="93" t="s">
        <v>13</v>
      </c>
      <c r="I35" s="2">
        <v>9.5299999999999994</v>
      </c>
      <c r="J35" s="7">
        <v>4.0199999999999996</v>
      </c>
      <c r="K35" s="8">
        <v>9.5</v>
      </c>
      <c r="L35" s="58">
        <f t="shared" si="4"/>
        <v>0.29733727810650884</v>
      </c>
      <c r="M35">
        <f t="shared" si="5"/>
        <v>13.52</v>
      </c>
      <c r="N35">
        <v>54</v>
      </c>
    </row>
    <row r="36" spans="2:14" x14ac:dyDescent="0.25">
      <c r="B36" s="145"/>
      <c r="C36" s="33">
        <v>7</v>
      </c>
      <c r="D36" s="82"/>
      <c r="E36" s="53" t="s">
        <v>51</v>
      </c>
      <c r="F36" s="93" t="s">
        <v>13</v>
      </c>
      <c r="G36" s="93" t="s">
        <v>13</v>
      </c>
      <c r="H36" s="91">
        <v>3.75</v>
      </c>
      <c r="I36" s="2">
        <v>9.5</v>
      </c>
      <c r="J36" s="7">
        <v>9.75</v>
      </c>
      <c r="K36" s="8">
        <v>9.5</v>
      </c>
      <c r="L36" s="58">
        <f t="shared" si="4"/>
        <v>0.50649350649350644</v>
      </c>
      <c r="M36">
        <f t="shared" si="5"/>
        <v>19.25</v>
      </c>
      <c r="N36">
        <v>60</v>
      </c>
    </row>
    <row r="37" spans="2:14" x14ac:dyDescent="0.25">
      <c r="B37" s="145"/>
      <c r="C37" s="33">
        <v>8</v>
      </c>
      <c r="D37" s="82"/>
      <c r="E37" s="53" t="s">
        <v>33</v>
      </c>
      <c r="F37" s="2">
        <v>3.02</v>
      </c>
      <c r="G37" s="93" t="s">
        <v>13</v>
      </c>
      <c r="H37" s="93" t="s">
        <v>13</v>
      </c>
      <c r="I37" s="2">
        <v>8.5</v>
      </c>
      <c r="J37" s="7">
        <v>3.02</v>
      </c>
      <c r="K37" s="8">
        <v>8.5</v>
      </c>
      <c r="L37" s="58">
        <f t="shared" si="4"/>
        <v>0.26215277777777779</v>
      </c>
      <c r="M37">
        <f t="shared" si="5"/>
        <v>11.52</v>
      </c>
      <c r="N37">
        <v>62</v>
      </c>
    </row>
    <row r="38" spans="2:14" x14ac:dyDescent="0.25">
      <c r="B38" s="145"/>
      <c r="C38" s="33">
        <v>9</v>
      </c>
      <c r="D38" s="82"/>
      <c r="E38" s="53" t="s">
        <v>52</v>
      </c>
      <c r="F38" s="93" t="s">
        <v>13</v>
      </c>
      <c r="G38" s="93" t="s">
        <v>13</v>
      </c>
      <c r="H38" s="91">
        <v>3.75</v>
      </c>
      <c r="I38" s="2">
        <v>8.5</v>
      </c>
      <c r="J38" s="7">
        <v>3.75</v>
      </c>
      <c r="K38" s="8">
        <v>8.5</v>
      </c>
      <c r="L38" s="58">
        <f t="shared" si="4"/>
        <v>0.30612244897959184</v>
      </c>
      <c r="M38">
        <f t="shared" si="5"/>
        <v>12.25</v>
      </c>
      <c r="N38">
        <v>68.599999999999994</v>
      </c>
    </row>
    <row r="39" spans="2:14" x14ac:dyDescent="0.25">
      <c r="B39" s="145"/>
      <c r="C39" s="33">
        <v>10</v>
      </c>
      <c r="D39" s="82"/>
      <c r="E39" s="53" t="s">
        <v>53</v>
      </c>
      <c r="F39" s="93" t="s">
        <v>13</v>
      </c>
      <c r="G39" s="93" t="s">
        <v>13</v>
      </c>
      <c r="H39" s="91">
        <v>3.75</v>
      </c>
      <c r="I39" s="2">
        <v>8.5</v>
      </c>
      <c r="J39" s="7">
        <v>3.75</v>
      </c>
      <c r="K39" s="8">
        <v>8.5</v>
      </c>
      <c r="L39" s="58">
        <f t="shared" si="4"/>
        <v>0.30612244897959184</v>
      </c>
      <c r="M39">
        <f t="shared" si="5"/>
        <v>12.25</v>
      </c>
      <c r="N39">
        <v>75.7</v>
      </c>
    </row>
    <row r="40" spans="2:14" x14ac:dyDescent="0.25">
      <c r="B40" s="145"/>
      <c r="C40" s="33">
        <v>11</v>
      </c>
      <c r="D40" s="82"/>
      <c r="E40" s="53" t="s">
        <v>54</v>
      </c>
      <c r="F40" s="93" t="s">
        <v>13</v>
      </c>
      <c r="G40" s="91">
        <v>4.2</v>
      </c>
      <c r="H40" s="91">
        <v>3.75</v>
      </c>
      <c r="I40" s="2">
        <v>6.56</v>
      </c>
      <c r="J40" s="7">
        <v>3.75</v>
      </c>
      <c r="K40" s="8">
        <v>6.5</v>
      </c>
      <c r="L40" s="58">
        <f t="shared" si="4"/>
        <v>0.36585365853658536</v>
      </c>
      <c r="M40">
        <f t="shared" si="5"/>
        <v>10.25</v>
      </c>
      <c r="N40">
        <v>52.5</v>
      </c>
    </row>
    <row r="41" spans="2:14" x14ac:dyDescent="0.25">
      <c r="B41" s="145"/>
      <c r="C41" s="33">
        <v>12</v>
      </c>
      <c r="D41" s="82"/>
      <c r="E41" s="53" t="s">
        <v>55</v>
      </c>
      <c r="F41" s="141" t="s">
        <v>13</v>
      </c>
      <c r="G41" s="141" t="s">
        <v>13</v>
      </c>
      <c r="H41" s="139">
        <v>3.75</v>
      </c>
      <c r="I41" s="140">
        <v>6.56</v>
      </c>
      <c r="J41" s="7">
        <v>3.75</v>
      </c>
      <c r="K41" s="8">
        <v>6.5</v>
      </c>
      <c r="L41" s="58">
        <f t="shared" si="4"/>
        <v>0.36585365853658536</v>
      </c>
      <c r="M41">
        <f t="shared" si="5"/>
        <v>10.25</v>
      </c>
      <c r="N41">
        <v>72.2</v>
      </c>
    </row>
    <row r="42" spans="2:14" x14ac:dyDescent="0.25">
      <c r="B42" s="145"/>
      <c r="C42" s="33">
        <v>13</v>
      </c>
      <c r="D42" s="82"/>
      <c r="E42" s="53" t="s">
        <v>56</v>
      </c>
      <c r="F42" s="141"/>
      <c r="G42" s="141"/>
      <c r="H42" s="139"/>
      <c r="I42" s="140"/>
      <c r="J42" s="7">
        <v>3.75</v>
      </c>
      <c r="K42" s="8">
        <v>6.5</v>
      </c>
      <c r="L42" s="58">
        <f t="shared" si="4"/>
        <v>0.36585365853658536</v>
      </c>
      <c r="M42">
        <f t="shared" si="5"/>
        <v>10.25</v>
      </c>
      <c r="N42">
        <v>72.2</v>
      </c>
    </row>
    <row r="43" spans="2:14" x14ac:dyDescent="0.25">
      <c r="B43" s="145"/>
      <c r="C43" s="33">
        <v>14</v>
      </c>
      <c r="D43" s="82"/>
      <c r="E43" s="53" t="s">
        <v>57</v>
      </c>
      <c r="F43" s="141" t="s">
        <v>13</v>
      </c>
      <c r="G43" s="139">
        <v>4.0199999999999996</v>
      </c>
      <c r="H43" s="141" t="s">
        <v>13</v>
      </c>
      <c r="I43" s="140">
        <v>9.5</v>
      </c>
      <c r="J43" s="7">
        <v>4.0199999999999996</v>
      </c>
      <c r="K43" s="8">
        <v>9.5</v>
      </c>
      <c r="L43" s="58">
        <f t="shared" si="4"/>
        <v>0.29733727810650884</v>
      </c>
      <c r="M43">
        <f t="shared" si="5"/>
        <v>13.52</v>
      </c>
      <c r="N43">
        <v>51.3</v>
      </c>
    </row>
    <row r="44" spans="2:14" x14ac:dyDescent="0.25">
      <c r="B44" s="145"/>
      <c r="C44" s="33">
        <v>15</v>
      </c>
      <c r="D44" s="82"/>
      <c r="E44" s="53" t="s">
        <v>58</v>
      </c>
      <c r="F44" s="141"/>
      <c r="G44" s="139"/>
      <c r="H44" s="141"/>
      <c r="I44" s="140"/>
      <c r="J44" s="7">
        <v>4.0199999999999996</v>
      </c>
      <c r="K44" s="8">
        <v>9.5</v>
      </c>
      <c r="L44" s="58">
        <f t="shared" si="4"/>
        <v>0.29733727810650884</v>
      </c>
      <c r="M44">
        <f t="shared" si="5"/>
        <v>13.52</v>
      </c>
      <c r="N44">
        <v>51.3</v>
      </c>
    </row>
    <row r="45" spans="2:14" x14ac:dyDescent="0.25">
      <c r="B45" s="145"/>
      <c r="C45" s="33">
        <v>16</v>
      </c>
      <c r="D45" s="82"/>
      <c r="E45" s="53" t="s">
        <v>59</v>
      </c>
      <c r="F45" s="141" t="s">
        <v>13</v>
      </c>
      <c r="G45" s="139">
        <v>4.0199999999999996</v>
      </c>
      <c r="H45" s="141" t="s">
        <v>13</v>
      </c>
      <c r="I45" s="140">
        <v>9.5</v>
      </c>
      <c r="J45" s="7">
        <v>4.0199999999999996</v>
      </c>
      <c r="K45" s="8">
        <v>9.5</v>
      </c>
      <c r="L45" s="58">
        <f t="shared" si="4"/>
        <v>0.29733727810650884</v>
      </c>
      <c r="M45">
        <f t="shared" si="5"/>
        <v>13.52</v>
      </c>
      <c r="N45">
        <v>57.6</v>
      </c>
    </row>
    <row r="46" spans="2:14" x14ac:dyDescent="0.25">
      <c r="B46" s="145"/>
      <c r="C46" s="33">
        <v>17</v>
      </c>
      <c r="D46" s="82"/>
      <c r="E46" s="53" t="s">
        <v>60</v>
      </c>
      <c r="F46" s="141"/>
      <c r="G46" s="139"/>
      <c r="H46" s="141"/>
      <c r="I46" s="140"/>
      <c r="J46" s="7">
        <v>4.0199999999999996</v>
      </c>
      <c r="K46" s="8">
        <v>9.5</v>
      </c>
      <c r="L46" s="58">
        <f t="shared" si="4"/>
        <v>0.29733727810650884</v>
      </c>
      <c r="M46">
        <f t="shared" si="5"/>
        <v>13.52</v>
      </c>
      <c r="N46">
        <v>57.6</v>
      </c>
    </row>
    <row r="47" spans="2:14" x14ac:dyDescent="0.25">
      <c r="B47" s="145"/>
      <c r="C47" s="33">
        <v>18</v>
      </c>
      <c r="D47" s="82"/>
      <c r="E47" s="53" t="s">
        <v>61</v>
      </c>
      <c r="F47" s="93" t="s">
        <v>13</v>
      </c>
      <c r="G47" s="93" t="s">
        <v>13</v>
      </c>
      <c r="H47" s="91">
        <v>3.75</v>
      </c>
      <c r="I47" s="2">
        <v>9.5</v>
      </c>
      <c r="J47" s="7">
        <v>3.75</v>
      </c>
      <c r="K47" s="8">
        <v>9.5</v>
      </c>
      <c r="L47" s="58">
        <f t="shared" si="4"/>
        <v>0.28301886792452829</v>
      </c>
      <c r="M47">
        <f t="shared" si="5"/>
        <v>13.25</v>
      </c>
      <c r="N47">
        <v>45</v>
      </c>
    </row>
    <row r="48" spans="2:14" x14ac:dyDescent="0.25">
      <c r="B48" s="145"/>
      <c r="C48" s="33">
        <v>19</v>
      </c>
      <c r="D48" s="82"/>
      <c r="E48" s="53" t="s">
        <v>62</v>
      </c>
      <c r="F48" s="2"/>
      <c r="G48" s="93" t="s">
        <v>13</v>
      </c>
      <c r="H48" s="93">
        <v>3.75</v>
      </c>
      <c r="I48" s="2">
        <v>9.5</v>
      </c>
      <c r="J48" s="7">
        <v>3.75</v>
      </c>
      <c r="K48" s="8">
        <v>9.5</v>
      </c>
      <c r="L48" s="58">
        <f t="shared" si="4"/>
        <v>0.28301886792452829</v>
      </c>
      <c r="M48">
        <f t="shared" si="5"/>
        <v>13.25</v>
      </c>
      <c r="N48">
        <v>45</v>
      </c>
    </row>
    <row r="49" spans="2:14" x14ac:dyDescent="0.25">
      <c r="B49" s="145"/>
      <c r="C49" s="33">
        <v>20</v>
      </c>
      <c r="D49" s="82"/>
      <c r="E49" s="53" t="s">
        <v>63</v>
      </c>
      <c r="F49" s="93" t="s">
        <v>13</v>
      </c>
      <c r="G49" s="93" t="s">
        <v>13</v>
      </c>
      <c r="H49" s="91">
        <v>2.36</v>
      </c>
      <c r="I49" s="2">
        <v>9.5</v>
      </c>
      <c r="J49" s="7">
        <v>2.36</v>
      </c>
      <c r="K49" s="8">
        <v>9.5</v>
      </c>
      <c r="L49" s="58">
        <f t="shared" si="4"/>
        <v>0.19898819561551434</v>
      </c>
      <c r="M49">
        <f t="shared" si="5"/>
        <v>11.86</v>
      </c>
      <c r="N49">
        <v>49.7</v>
      </c>
    </row>
    <row r="50" spans="2:14" x14ac:dyDescent="0.25">
      <c r="B50" s="145"/>
      <c r="C50" s="33">
        <v>21</v>
      </c>
      <c r="D50" s="82"/>
      <c r="E50" s="53" t="s">
        <v>64</v>
      </c>
      <c r="F50" s="93" t="s">
        <v>13</v>
      </c>
      <c r="G50" s="93" t="s">
        <v>13</v>
      </c>
      <c r="H50" s="91">
        <v>2.36</v>
      </c>
      <c r="I50" s="2">
        <v>9.5</v>
      </c>
      <c r="J50" s="7">
        <v>2.36</v>
      </c>
      <c r="K50" s="8">
        <v>9.5</v>
      </c>
      <c r="L50" s="58">
        <f t="shared" si="4"/>
        <v>0.19898819561551434</v>
      </c>
      <c r="M50">
        <f t="shared" si="5"/>
        <v>11.86</v>
      </c>
      <c r="N50">
        <v>48.2</v>
      </c>
    </row>
    <row r="51" spans="2:14" x14ac:dyDescent="0.25">
      <c r="B51" s="145"/>
      <c r="C51" s="33">
        <v>22</v>
      </c>
      <c r="D51" s="82"/>
      <c r="E51" s="53" t="s">
        <v>65</v>
      </c>
      <c r="F51" s="93" t="s">
        <v>13</v>
      </c>
      <c r="G51" s="93" t="s">
        <v>13</v>
      </c>
      <c r="H51" s="91">
        <v>2.36</v>
      </c>
      <c r="I51" s="2">
        <v>9.5</v>
      </c>
      <c r="J51" s="7">
        <v>2.36</v>
      </c>
      <c r="K51" s="8">
        <v>9.5</v>
      </c>
      <c r="L51" s="58">
        <f t="shared" si="4"/>
        <v>0.19898819561551434</v>
      </c>
      <c r="M51">
        <f t="shared" si="5"/>
        <v>11.86</v>
      </c>
      <c r="N51">
        <v>48.2</v>
      </c>
    </row>
    <row r="52" spans="2:14" x14ac:dyDescent="0.25">
      <c r="B52" s="145"/>
      <c r="C52" s="33">
        <v>23</v>
      </c>
      <c r="D52" s="82"/>
      <c r="E52" s="53" t="s">
        <v>66</v>
      </c>
      <c r="F52" s="93" t="s">
        <v>13</v>
      </c>
      <c r="G52" s="93" t="s">
        <v>13</v>
      </c>
      <c r="H52" s="91">
        <v>2.36</v>
      </c>
      <c r="I52" s="2">
        <v>10.4</v>
      </c>
      <c r="J52" s="7">
        <v>2.36</v>
      </c>
      <c r="K52" s="8">
        <v>10.4</v>
      </c>
      <c r="L52" s="58">
        <f t="shared" si="4"/>
        <v>0.18495297805642633</v>
      </c>
      <c r="M52">
        <f t="shared" si="5"/>
        <v>12.76</v>
      </c>
      <c r="N52">
        <v>61</v>
      </c>
    </row>
    <row r="53" spans="2:14" x14ac:dyDescent="0.25">
      <c r="B53" s="145"/>
      <c r="C53" s="33">
        <v>24</v>
      </c>
      <c r="D53" s="82"/>
      <c r="E53" s="53" t="s">
        <v>67</v>
      </c>
      <c r="F53" s="93" t="s">
        <v>13</v>
      </c>
      <c r="G53" s="93" t="s">
        <v>13</v>
      </c>
      <c r="H53" s="91">
        <v>2.36</v>
      </c>
      <c r="I53" s="2">
        <v>10.4</v>
      </c>
      <c r="J53" s="7">
        <v>2.36</v>
      </c>
      <c r="K53" s="8">
        <v>10.4</v>
      </c>
      <c r="L53" s="58">
        <f t="shared" si="4"/>
        <v>0.18495297805642633</v>
      </c>
      <c r="M53">
        <f t="shared" si="5"/>
        <v>12.76</v>
      </c>
      <c r="N53">
        <v>51.4</v>
      </c>
    </row>
    <row r="54" spans="2:14" x14ac:dyDescent="0.25">
      <c r="B54" s="145"/>
      <c r="C54" s="33">
        <v>25</v>
      </c>
      <c r="D54" s="82"/>
      <c r="E54" s="53" t="s">
        <v>68</v>
      </c>
      <c r="F54" s="93" t="s">
        <v>13</v>
      </c>
      <c r="G54" s="93" t="s">
        <v>13</v>
      </c>
      <c r="H54" s="91">
        <v>2.36</v>
      </c>
      <c r="I54" s="2">
        <v>10.4</v>
      </c>
      <c r="J54" s="7">
        <v>2.36</v>
      </c>
      <c r="K54" s="8">
        <v>10.4</v>
      </c>
      <c r="L54" s="58">
        <f t="shared" si="4"/>
        <v>0.18495297805642633</v>
      </c>
      <c r="M54">
        <f t="shared" si="5"/>
        <v>12.76</v>
      </c>
      <c r="N54">
        <v>48.8</v>
      </c>
    </row>
    <row r="55" spans="2:14" x14ac:dyDescent="0.25">
      <c r="B55" s="145"/>
      <c r="C55" s="33">
        <v>26</v>
      </c>
      <c r="D55" s="82"/>
      <c r="E55" s="53" t="s">
        <v>69</v>
      </c>
      <c r="F55" s="2">
        <v>1.1000000000000001</v>
      </c>
      <c r="G55" s="93" t="s">
        <v>13</v>
      </c>
      <c r="H55" s="93" t="s">
        <v>13</v>
      </c>
      <c r="I55" s="2">
        <v>9.5</v>
      </c>
      <c r="J55" s="7">
        <v>1.1000000000000001</v>
      </c>
      <c r="K55" s="8">
        <v>9.5</v>
      </c>
      <c r="L55" s="58">
        <f t="shared" si="4"/>
        <v>0.1037735849056604</v>
      </c>
      <c r="M55">
        <f t="shared" si="5"/>
        <v>10.6</v>
      </c>
      <c r="N55" s="98">
        <v>48.2</v>
      </c>
    </row>
    <row r="56" spans="2:14" x14ac:dyDescent="0.25">
      <c r="B56" s="145"/>
      <c r="C56" s="33">
        <v>27</v>
      </c>
      <c r="D56" s="82"/>
      <c r="E56" s="53" t="s">
        <v>70</v>
      </c>
      <c r="F56" s="93" t="s">
        <v>13</v>
      </c>
      <c r="G56" s="93" t="s">
        <v>13</v>
      </c>
      <c r="H56" s="91">
        <v>2.36</v>
      </c>
      <c r="I56" s="2">
        <v>9.5</v>
      </c>
      <c r="J56" s="7">
        <v>2.36</v>
      </c>
      <c r="K56" s="8">
        <v>9.5</v>
      </c>
      <c r="L56" s="58">
        <f t="shared" si="4"/>
        <v>0.19898819561551434</v>
      </c>
      <c r="M56">
        <f t="shared" si="5"/>
        <v>11.86</v>
      </c>
      <c r="N56" s="98">
        <v>48.2</v>
      </c>
    </row>
    <row r="57" spans="2:14" x14ac:dyDescent="0.25">
      <c r="B57" s="145"/>
      <c r="C57" s="33">
        <v>28</v>
      </c>
      <c r="D57" s="82"/>
      <c r="E57" s="53" t="s">
        <v>71</v>
      </c>
      <c r="F57" s="2">
        <v>1.1000000000000001</v>
      </c>
      <c r="G57" s="93" t="s">
        <v>13</v>
      </c>
      <c r="H57" s="93" t="s">
        <v>13</v>
      </c>
      <c r="I57" s="2">
        <v>9.5</v>
      </c>
      <c r="J57" s="7">
        <v>1.1000000000000001</v>
      </c>
      <c r="K57" s="8">
        <v>9.5</v>
      </c>
      <c r="L57" s="58">
        <f t="shared" si="4"/>
        <v>0.1037735849056604</v>
      </c>
      <c r="M57">
        <f t="shared" si="5"/>
        <v>10.6</v>
      </c>
      <c r="N57" s="98">
        <v>48.2</v>
      </c>
    </row>
    <row r="58" spans="2:14" ht="15.75" thickBot="1" x14ac:dyDescent="0.3">
      <c r="B58" s="145"/>
      <c r="C58" s="35">
        <v>29</v>
      </c>
      <c r="D58" s="83"/>
      <c r="E58" s="54" t="s">
        <v>72</v>
      </c>
      <c r="F58" s="25">
        <v>1.1000000000000001</v>
      </c>
      <c r="G58" s="20" t="s">
        <v>13</v>
      </c>
      <c r="H58" s="20" t="s">
        <v>13</v>
      </c>
      <c r="I58" s="25">
        <v>9.5</v>
      </c>
      <c r="J58" s="23">
        <v>1.1000000000000001</v>
      </c>
      <c r="K58" s="24">
        <v>9.5</v>
      </c>
      <c r="L58" s="58">
        <f t="shared" si="4"/>
        <v>0.1037735849056604</v>
      </c>
      <c r="M58">
        <f t="shared" si="5"/>
        <v>10.6</v>
      </c>
      <c r="N58">
        <v>48.2</v>
      </c>
    </row>
    <row r="59" spans="2:14" x14ac:dyDescent="0.25">
      <c r="B59" s="146"/>
      <c r="C59" s="152" t="s">
        <v>35</v>
      </c>
      <c r="D59" s="152"/>
      <c r="E59" s="152"/>
      <c r="F59" s="95">
        <f t="shared" ref="F59:I59" si="6">COUNTIF(F30:F58,"O ")</f>
        <v>0</v>
      </c>
      <c r="G59" s="95">
        <f t="shared" si="6"/>
        <v>0</v>
      </c>
      <c r="H59" s="95">
        <f t="shared" si="6"/>
        <v>0</v>
      </c>
      <c r="I59" s="41">
        <f t="shared" si="6"/>
        <v>0</v>
      </c>
      <c r="J59" s="48">
        <f>SUM(J30:J58)</f>
        <v>91.19999999999996</v>
      </c>
      <c r="K59" s="49">
        <f>SUM(K38:K58)</f>
        <v>191.20000000000002</v>
      </c>
      <c r="M59" s="90"/>
      <c r="N59" s="90"/>
    </row>
    <row r="60" spans="2:14" ht="15.75" thickBot="1" x14ac:dyDescent="0.3">
      <c r="B60" s="147"/>
      <c r="C60" s="153"/>
      <c r="D60" s="153"/>
      <c r="E60" s="153"/>
      <c r="F60" s="96">
        <f t="shared" ref="F60:I60" si="7">COUNTIF(F30:F58,"X")</f>
        <v>0</v>
      </c>
      <c r="G60" s="96">
        <f t="shared" si="7"/>
        <v>0</v>
      </c>
      <c r="H60" s="96">
        <f t="shared" si="7"/>
        <v>0</v>
      </c>
      <c r="I60" s="43">
        <f t="shared" si="7"/>
        <v>0</v>
      </c>
      <c r="J60" s="44">
        <f>J59/(J59+K59)</f>
        <v>0.32294617563739364</v>
      </c>
      <c r="K60" s="45">
        <f>K59/(K59+J59)</f>
        <v>0.6770538243626063</v>
      </c>
      <c r="M60" s="90"/>
      <c r="N60" s="90"/>
    </row>
  </sheetData>
  <mergeCells count="55">
    <mergeCell ref="K4:K6"/>
    <mergeCell ref="F5:H5"/>
    <mergeCell ref="B4:B6"/>
    <mergeCell ref="C4:C6"/>
    <mergeCell ref="D4:E6"/>
    <mergeCell ref="F4:I4"/>
    <mergeCell ref="J4:J6"/>
    <mergeCell ref="F8:F10"/>
    <mergeCell ref="G8:G10"/>
    <mergeCell ref="H8:H10"/>
    <mergeCell ref="I8:I10"/>
    <mergeCell ref="B7:B29"/>
    <mergeCell ref="F14:F15"/>
    <mergeCell ref="G14:G15"/>
    <mergeCell ref="H14:H15"/>
    <mergeCell ref="I14:I15"/>
    <mergeCell ref="F11:F13"/>
    <mergeCell ref="G11:G13"/>
    <mergeCell ref="H11:H13"/>
    <mergeCell ref="I11:I13"/>
    <mergeCell ref="F19:F20"/>
    <mergeCell ref="G19:G20"/>
    <mergeCell ref="H19:H20"/>
    <mergeCell ref="I19:I20"/>
    <mergeCell ref="F16:F18"/>
    <mergeCell ref="G16:G18"/>
    <mergeCell ref="H16:H18"/>
    <mergeCell ref="I16:I18"/>
    <mergeCell ref="B30:B60"/>
    <mergeCell ref="F24:F25"/>
    <mergeCell ref="G24:G25"/>
    <mergeCell ref="H24:H25"/>
    <mergeCell ref="I24:I25"/>
    <mergeCell ref="C28:E29"/>
    <mergeCell ref="F33:F34"/>
    <mergeCell ref="G33:G34"/>
    <mergeCell ref="H33:H34"/>
    <mergeCell ref="I33:I34"/>
    <mergeCell ref="F31:F32"/>
    <mergeCell ref="G31:G32"/>
    <mergeCell ref="H31:H32"/>
    <mergeCell ref="I31:I32"/>
    <mergeCell ref="F43:F44"/>
    <mergeCell ref="G43:G44"/>
    <mergeCell ref="H43:H44"/>
    <mergeCell ref="I43:I44"/>
    <mergeCell ref="F41:F42"/>
    <mergeCell ref="G41:G42"/>
    <mergeCell ref="H41:H42"/>
    <mergeCell ref="I41:I42"/>
    <mergeCell ref="F45:F46"/>
    <mergeCell ref="G45:G46"/>
    <mergeCell ref="H45:H46"/>
    <mergeCell ref="I45:I46"/>
    <mergeCell ref="C59:E60"/>
  </mergeCells>
  <conditionalFormatting sqref="L7:L28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{233C4D85-7CBE-49C8-B595-37ADA6C83447}</x14:id>
        </ext>
      </extLst>
    </cfRule>
  </conditionalFormatting>
  <conditionalFormatting sqref="L30:L5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{6F9841CE-359D-4020-830E-D73DAD4F9D1F}</x14:id>
        </ext>
      </extLst>
    </cfRule>
  </conditionalFormatting>
  <pageMargins left="0.7" right="0.7" top="0.75" bottom="0.75" header="0.3" footer="0.3"/>
  <pageSetup scale="50" orientation="landscape" horizontalDpi="4294967293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3C4D85-7CBE-49C8-B595-37ADA6C834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L7:L28</xm:sqref>
        </x14:conditionalFormatting>
        <x14:conditionalFormatting xmlns:xm="http://schemas.microsoft.com/office/excel/2006/main">
          <x14:cfRule type="dataBar" id="{6F9841CE-359D-4020-830E-D73DAD4F9D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L30:L58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0DDF-50AD-428E-B4D9-F12CD26E013D}">
  <dimension ref="B2:O60"/>
  <sheetViews>
    <sheetView topLeftCell="A17" zoomScale="71" zoomScaleNormal="71" workbookViewId="0">
      <selection activeCell="N60" sqref="N60"/>
    </sheetView>
  </sheetViews>
  <sheetFormatPr defaultRowHeight="15" x14ac:dyDescent="0.25"/>
  <cols>
    <col min="1" max="1" width="3.28515625" customWidth="1"/>
    <col min="2" max="2" width="13.140625" customWidth="1"/>
    <col min="3" max="4" width="5.140625" style="1" customWidth="1"/>
    <col min="5" max="5" width="15.140625" style="1" customWidth="1"/>
    <col min="6" max="9" width="13.42578125" style="1" customWidth="1"/>
    <col min="10" max="10" width="12.85546875" customWidth="1"/>
    <col min="11" max="11" width="18.28515625" customWidth="1"/>
    <col min="12" max="12" width="26.42578125" customWidth="1"/>
  </cols>
  <sheetData>
    <row r="2" spans="2:14" ht="25.5" x14ac:dyDescent="0.35">
      <c r="B2" s="27" t="s">
        <v>77</v>
      </c>
    </row>
    <row r="3" spans="2:14" ht="15.75" thickBot="1" x14ac:dyDescent="0.3">
      <c r="B3" s="26"/>
    </row>
    <row r="4" spans="2:14" x14ac:dyDescent="0.25">
      <c r="B4" s="163" t="s">
        <v>38</v>
      </c>
      <c r="C4" s="166" t="s">
        <v>0</v>
      </c>
      <c r="D4" s="178" t="s">
        <v>1</v>
      </c>
      <c r="E4" s="179"/>
      <c r="F4" s="169"/>
      <c r="G4" s="169"/>
      <c r="H4" s="169"/>
      <c r="I4" s="170"/>
      <c r="J4" s="184" t="s">
        <v>4</v>
      </c>
      <c r="K4" s="174" t="s">
        <v>81</v>
      </c>
    </row>
    <row r="5" spans="2:14" x14ac:dyDescent="0.25">
      <c r="B5" s="164"/>
      <c r="C5" s="167"/>
      <c r="D5" s="180"/>
      <c r="E5" s="181"/>
      <c r="F5" s="177" t="s">
        <v>4</v>
      </c>
      <c r="G5" s="177"/>
      <c r="H5" s="177"/>
      <c r="I5" s="9" t="s">
        <v>5</v>
      </c>
      <c r="J5" s="185"/>
      <c r="K5" s="175"/>
    </row>
    <row r="6" spans="2:14" ht="29.25" customHeight="1" thickBot="1" x14ac:dyDescent="0.3">
      <c r="B6" s="165"/>
      <c r="C6" s="168"/>
      <c r="D6" s="182"/>
      <c r="E6" s="183"/>
      <c r="F6" s="56" t="s">
        <v>8</v>
      </c>
      <c r="G6" s="55" t="s">
        <v>43</v>
      </c>
      <c r="H6" s="56" t="s">
        <v>9</v>
      </c>
      <c r="I6" s="18" t="s">
        <v>44</v>
      </c>
      <c r="J6" s="186"/>
      <c r="K6" s="176"/>
      <c r="L6" s="57" t="s">
        <v>75</v>
      </c>
      <c r="M6" t="s">
        <v>78</v>
      </c>
      <c r="N6" s="89" t="s">
        <v>79</v>
      </c>
    </row>
    <row r="7" spans="2:14" x14ac:dyDescent="0.25">
      <c r="B7" s="144" t="s">
        <v>39</v>
      </c>
      <c r="C7" s="37">
        <v>1</v>
      </c>
      <c r="D7" s="77"/>
      <c r="E7" s="74" t="s">
        <v>10</v>
      </c>
      <c r="F7" s="13" t="s">
        <v>13</v>
      </c>
      <c r="G7" s="14">
        <v>4.0199999999999996</v>
      </c>
      <c r="H7" s="13" t="s">
        <v>13</v>
      </c>
      <c r="I7" s="15">
        <v>9.5299999999999994</v>
      </c>
      <c r="J7" s="16">
        <v>4.0199999999999996</v>
      </c>
      <c r="K7" s="17">
        <v>11.83</v>
      </c>
      <c r="L7" s="58">
        <f t="shared" ref="L7:L28" si="0">J7/(J7+K7)</f>
        <v>0.25362776025236589</v>
      </c>
      <c r="M7">
        <f>J7+K7</f>
        <v>15.85</v>
      </c>
      <c r="N7">
        <v>54</v>
      </c>
    </row>
    <row r="8" spans="2:14" x14ac:dyDescent="0.25">
      <c r="B8" s="145"/>
      <c r="C8" s="38">
        <v>2</v>
      </c>
      <c r="D8" s="78"/>
      <c r="E8" s="75" t="s">
        <v>14</v>
      </c>
      <c r="F8" s="141" t="s">
        <v>13</v>
      </c>
      <c r="G8" s="141" t="s">
        <v>13</v>
      </c>
      <c r="H8" s="139">
        <v>3.75</v>
      </c>
      <c r="I8" s="162">
        <v>9.1</v>
      </c>
      <c r="J8" s="7">
        <v>3.75</v>
      </c>
      <c r="K8" s="8">
        <v>19.98</v>
      </c>
      <c r="L8" s="58">
        <f t="shared" si="0"/>
        <v>0.15802781289506954</v>
      </c>
      <c r="M8">
        <f t="shared" ref="M8:M27" si="1">J8+K8</f>
        <v>23.73</v>
      </c>
      <c r="N8">
        <v>99.4</v>
      </c>
    </row>
    <row r="9" spans="2:14" x14ac:dyDescent="0.25">
      <c r="B9" s="145"/>
      <c r="C9" s="38">
        <v>3</v>
      </c>
      <c r="D9" s="78"/>
      <c r="E9" s="75" t="s">
        <v>15</v>
      </c>
      <c r="F9" s="141"/>
      <c r="G9" s="141"/>
      <c r="H9" s="139"/>
      <c r="I9" s="162"/>
      <c r="J9" s="7">
        <v>3.75</v>
      </c>
      <c r="K9" s="8">
        <v>19.98</v>
      </c>
      <c r="L9" s="58">
        <f t="shared" si="0"/>
        <v>0.15802781289506954</v>
      </c>
      <c r="M9">
        <f t="shared" si="1"/>
        <v>23.73</v>
      </c>
      <c r="N9">
        <v>99.4</v>
      </c>
    </row>
    <row r="10" spans="2:14" x14ac:dyDescent="0.25">
      <c r="B10" s="145"/>
      <c r="C10" s="38">
        <v>4</v>
      </c>
      <c r="D10" s="78"/>
      <c r="E10" s="75" t="s">
        <v>16</v>
      </c>
      <c r="F10" s="141"/>
      <c r="G10" s="141"/>
      <c r="H10" s="139"/>
      <c r="I10" s="162"/>
      <c r="J10" s="7">
        <v>3.75</v>
      </c>
      <c r="K10" s="8">
        <v>19.98</v>
      </c>
      <c r="L10" s="58">
        <f t="shared" si="0"/>
        <v>0.15802781289506954</v>
      </c>
      <c r="M10">
        <f t="shared" si="1"/>
        <v>23.73</v>
      </c>
      <c r="N10">
        <v>99.4</v>
      </c>
    </row>
    <row r="11" spans="2:14" x14ac:dyDescent="0.25">
      <c r="B11" s="145"/>
      <c r="C11" s="38">
        <v>5</v>
      </c>
      <c r="D11" s="78"/>
      <c r="E11" s="75" t="s">
        <v>17</v>
      </c>
      <c r="F11" s="141" t="s">
        <v>13</v>
      </c>
      <c r="G11" s="141" t="s">
        <v>13</v>
      </c>
      <c r="H11" s="139">
        <v>3.75</v>
      </c>
      <c r="I11" s="162">
        <v>9.1</v>
      </c>
      <c r="J11" s="7">
        <v>3.75</v>
      </c>
      <c r="K11" s="8">
        <v>16.98</v>
      </c>
      <c r="L11" s="58">
        <f t="shared" si="0"/>
        <v>0.18089725036179449</v>
      </c>
      <c r="M11">
        <f t="shared" si="1"/>
        <v>20.73</v>
      </c>
      <c r="N11">
        <v>61.13</v>
      </c>
    </row>
    <row r="12" spans="2:14" x14ac:dyDescent="0.25">
      <c r="B12" s="145"/>
      <c r="C12" s="38">
        <v>6</v>
      </c>
      <c r="D12" s="78"/>
      <c r="E12" s="75" t="s">
        <v>18</v>
      </c>
      <c r="F12" s="141"/>
      <c r="G12" s="141"/>
      <c r="H12" s="139"/>
      <c r="I12" s="162"/>
      <c r="J12" s="7">
        <v>3.75</v>
      </c>
      <c r="K12" s="8">
        <v>16.98</v>
      </c>
      <c r="L12" s="58">
        <f t="shared" si="0"/>
        <v>0.18089725036179449</v>
      </c>
      <c r="M12">
        <f t="shared" si="1"/>
        <v>20.73</v>
      </c>
      <c r="N12">
        <v>61.13</v>
      </c>
    </row>
    <row r="13" spans="2:14" x14ac:dyDescent="0.25">
      <c r="B13" s="145"/>
      <c r="C13" s="38">
        <v>7</v>
      </c>
      <c r="D13" s="78"/>
      <c r="E13" s="75" t="s">
        <v>19</v>
      </c>
      <c r="F13" s="141"/>
      <c r="G13" s="141"/>
      <c r="H13" s="139"/>
      <c r="I13" s="162"/>
      <c r="J13" s="7">
        <v>3.75</v>
      </c>
      <c r="K13" s="8">
        <v>16.98</v>
      </c>
      <c r="L13" s="58">
        <f t="shared" si="0"/>
        <v>0.18089725036179449</v>
      </c>
      <c r="M13">
        <f t="shared" si="1"/>
        <v>20.73</v>
      </c>
      <c r="N13">
        <v>61.13</v>
      </c>
    </row>
    <row r="14" spans="2:14" x14ac:dyDescent="0.25">
      <c r="B14" s="145"/>
      <c r="C14" s="38">
        <v>8</v>
      </c>
      <c r="D14" s="79"/>
      <c r="E14" s="75" t="s">
        <v>20</v>
      </c>
      <c r="F14" s="140">
        <v>3.2</v>
      </c>
      <c r="G14" s="141" t="s">
        <v>13</v>
      </c>
      <c r="H14" s="141" t="s">
        <v>13</v>
      </c>
      <c r="I14" s="162">
        <v>9.1</v>
      </c>
      <c r="J14" s="7">
        <v>3.2</v>
      </c>
      <c r="K14" s="8">
        <v>9.1</v>
      </c>
      <c r="L14" s="58">
        <f t="shared" si="0"/>
        <v>0.26016260162601623</v>
      </c>
      <c r="M14">
        <f t="shared" si="1"/>
        <v>12.3</v>
      </c>
      <c r="N14">
        <v>48.25</v>
      </c>
    </row>
    <row r="15" spans="2:14" x14ac:dyDescent="0.25">
      <c r="B15" s="145"/>
      <c r="C15" s="38">
        <v>9</v>
      </c>
      <c r="D15" s="79"/>
      <c r="E15" s="75" t="s">
        <v>21</v>
      </c>
      <c r="F15" s="140"/>
      <c r="G15" s="141"/>
      <c r="H15" s="141"/>
      <c r="I15" s="162"/>
      <c r="J15" s="7">
        <v>3.2</v>
      </c>
      <c r="K15" s="8">
        <v>9.1</v>
      </c>
      <c r="L15" s="58">
        <f t="shared" si="0"/>
        <v>0.26016260162601623</v>
      </c>
      <c r="M15">
        <f t="shared" si="1"/>
        <v>12.3</v>
      </c>
      <c r="N15">
        <v>48.25</v>
      </c>
    </row>
    <row r="16" spans="2:14" x14ac:dyDescent="0.25">
      <c r="B16" s="145"/>
      <c r="C16" s="38">
        <v>10</v>
      </c>
      <c r="D16" s="79"/>
      <c r="E16" s="75" t="s">
        <v>23</v>
      </c>
      <c r="F16" s="140">
        <v>3.2</v>
      </c>
      <c r="G16" s="141" t="s">
        <v>13</v>
      </c>
      <c r="H16" s="141" t="s">
        <v>13</v>
      </c>
      <c r="I16" s="162">
        <v>9.1</v>
      </c>
      <c r="J16" s="7">
        <v>3.2</v>
      </c>
      <c r="K16" s="8">
        <v>14.2</v>
      </c>
      <c r="L16" s="58">
        <f t="shared" si="0"/>
        <v>0.18390804597701152</v>
      </c>
      <c r="M16">
        <f t="shared" si="1"/>
        <v>17.399999999999999</v>
      </c>
      <c r="N16" s="98">
        <v>42</v>
      </c>
    </row>
    <row r="17" spans="2:14" x14ac:dyDescent="0.25">
      <c r="B17" s="145"/>
      <c r="C17" s="38">
        <v>11</v>
      </c>
      <c r="D17" s="79"/>
      <c r="E17" s="75" t="s">
        <v>24</v>
      </c>
      <c r="F17" s="140"/>
      <c r="G17" s="141"/>
      <c r="H17" s="141"/>
      <c r="I17" s="162"/>
      <c r="J17" s="7">
        <v>9.1</v>
      </c>
      <c r="K17" s="8">
        <v>14.2</v>
      </c>
      <c r="L17" s="58">
        <f t="shared" si="0"/>
        <v>0.3905579399141631</v>
      </c>
      <c r="M17">
        <f t="shared" si="1"/>
        <v>23.299999999999997</v>
      </c>
      <c r="N17" s="98">
        <v>42</v>
      </c>
    </row>
    <row r="18" spans="2:14" x14ac:dyDescent="0.25">
      <c r="B18" s="145"/>
      <c r="C18" s="38">
        <v>12</v>
      </c>
      <c r="D18" s="79"/>
      <c r="E18" s="75" t="s">
        <v>25</v>
      </c>
      <c r="F18" s="140"/>
      <c r="G18" s="141"/>
      <c r="H18" s="141"/>
      <c r="I18" s="162"/>
      <c r="J18" s="7">
        <v>9.1</v>
      </c>
      <c r="K18" s="8">
        <v>14.2</v>
      </c>
      <c r="L18" s="58">
        <f t="shared" si="0"/>
        <v>0.3905579399141631</v>
      </c>
      <c r="M18">
        <f t="shared" si="1"/>
        <v>23.299999999999997</v>
      </c>
      <c r="N18" s="98">
        <v>42</v>
      </c>
    </row>
    <row r="19" spans="2:14" x14ac:dyDescent="0.25">
      <c r="B19" s="145"/>
      <c r="C19" s="38">
        <v>13</v>
      </c>
      <c r="D19" s="79"/>
      <c r="E19" s="75" t="s">
        <v>26</v>
      </c>
      <c r="F19" s="140">
        <v>3.2</v>
      </c>
      <c r="G19" s="141" t="s">
        <v>13</v>
      </c>
      <c r="H19" s="141" t="s">
        <v>13</v>
      </c>
      <c r="I19" s="162">
        <v>9.1</v>
      </c>
      <c r="J19" s="7">
        <v>9.1</v>
      </c>
      <c r="K19" s="8">
        <v>12.8</v>
      </c>
      <c r="L19" s="58">
        <f t="shared" si="0"/>
        <v>0.41552511415525117</v>
      </c>
      <c r="M19">
        <f t="shared" si="1"/>
        <v>21.9</v>
      </c>
      <c r="N19">
        <v>48.43</v>
      </c>
    </row>
    <row r="20" spans="2:14" x14ac:dyDescent="0.25">
      <c r="B20" s="145"/>
      <c r="C20" s="38">
        <v>14</v>
      </c>
      <c r="D20" s="79"/>
      <c r="E20" s="75" t="s">
        <v>27</v>
      </c>
      <c r="F20" s="140"/>
      <c r="G20" s="141"/>
      <c r="H20" s="141"/>
      <c r="I20" s="162"/>
      <c r="J20" s="7">
        <v>9.1</v>
      </c>
      <c r="K20" s="8">
        <v>12.8</v>
      </c>
      <c r="L20" s="58">
        <f t="shared" si="0"/>
        <v>0.41552511415525117</v>
      </c>
      <c r="M20">
        <f t="shared" si="1"/>
        <v>21.9</v>
      </c>
      <c r="N20">
        <v>48.43</v>
      </c>
    </row>
    <row r="21" spans="2:14" x14ac:dyDescent="0.25">
      <c r="B21" s="145"/>
      <c r="C21" s="38">
        <v>15</v>
      </c>
      <c r="D21" s="79"/>
      <c r="E21" s="75" t="s">
        <v>28</v>
      </c>
      <c r="F21" s="92">
        <v>3.2</v>
      </c>
      <c r="G21" s="93" t="s">
        <v>13</v>
      </c>
      <c r="H21" s="93" t="s">
        <v>13</v>
      </c>
      <c r="I21" s="97">
        <v>9.1</v>
      </c>
      <c r="J21" s="7">
        <v>3.2</v>
      </c>
      <c r="K21" s="8">
        <v>9.1</v>
      </c>
      <c r="L21" s="58">
        <f t="shared" si="0"/>
        <v>0.26016260162601623</v>
      </c>
      <c r="M21">
        <f t="shared" si="1"/>
        <v>12.3</v>
      </c>
      <c r="N21">
        <v>49.5</v>
      </c>
    </row>
    <row r="22" spans="2:14" x14ac:dyDescent="0.25">
      <c r="B22" s="145"/>
      <c r="C22" s="38">
        <v>16</v>
      </c>
      <c r="D22" s="79"/>
      <c r="E22" s="75" t="s">
        <v>29</v>
      </c>
      <c r="F22" s="92">
        <v>3.2</v>
      </c>
      <c r="G22" s="93" t="s">
        <v>13</v>
      </c>
      <c r="H22" s="93" t="s">
        <v>13</v>
      </c>
      <c r="I22" s="97">
        <v>9.1</v>
      </c>
      <c r="J22" s="7">
        <v>3.2</v>
      </c>
      <c r="K22" s="8">
        <v>19.600000000000001</v>
      </c>
      <c r="L22" s="58">
        <f t="shared" si="0"/>
        <v>0.14035087719298245</v>
      </c>
      <c r="M22">
        <f t="shared" si="1"/>
        <v>22.8</v>
      </c>
      <c r="N22">
        <v>45.88</v>
      </c>
    </row>
    <row r="23" spans="2:14" x14ac:dyDescent="0.25">
      <c r="B23" s="145"/>
      <c r="C23" s="38">
        <v>17</v>
      </c>
      <c r="D23" s="78"/>
      <c r="E23" s="75" t="s">
        <v>30</v>
      </c>
      <c r="F23" s="93" t="s">
        <v>13</v>
      </c>
      <c r="G23" s="93" t="s">
        <v>13</v>
      </c>
      <c r="H23" s="91">
        <v>3.75</v>
      </c>
      <c r="I23" s="97">
        <v>9.1</v>
      </c>
      <c r="J23" s="7">
        <v>3.75</v>
      </c>
      <c r="K23" s="8">
        <v>16.649999999999999</v>
      </c>
      <c r="L23" s="58">
        <f t="shared" si="0"/>
        <v>0.18382352941176472</v>
      </c>
      <c r="M23">
        <f t="shared" si="1"/>
        <v>20.399999999999999</v>
      </c>
      <c r="N23">
        <v>79.400000000000006</v>
      </c>
    </row>
    <row r="24" spans="2:14" x14ac:dyDescent="0.25">
      <c r="B24" s="145"/>
      <c r="C24" s="38">
        <v>18</v>
      </c>
      <c r="D24" s="78"/>
      <c r="E24" s="75" t="s">
        <v>31</v>
      </c>
      <c r="F24" s="150">
        <v>3.2</v>
      </c>
      <c r="G24" s="142" t="s">
        <v>13</v>
      </c>
      <c r="H24" s="142" t="s">
        <v>13</v>
      </c>
      <c r="I24" s="154">
        <v>9.1</v>
      </c>
      <c r="J24" s="7">
        <v>3.2</v>
      </c>
      <c r="K24" s="8">
        <v>9.1</v>
      </c>
      <c r="L24" s="58">
        <f t="shared" si="0"/>
        <v>0.26016260162601623</v>
      </c>
      <c r="M24">
        <f t="shared" si="1"/>
        <v>12.3</v>
      </c>
      <c r="N24">
        <v>44.5</v>
      </c>
    </row>
    <row r="25" spans="2:14" x14ac:dyDescent="0.25">
      <c r="B25" s="145"/>
      <c r="C25" s="38">
        <v>19</v>
      </c>
      <c r="D25" s="78"/>
      <c r="E25" s="75" t="s">
        <v>32</v>
      </c>
      <c r="F25" s="151"/>
      <c r="G25" s="143"/>
      <c r="H25" s="143"/>
      <c r="I25" s="155"/>
      <c r="J25" s="7">
        <v>3.2</v>
      </c>
      <c r="K25" s="8">
        <v>9.1</v>
      </c>
      <c r="L25" s="58">
        <f t="shared" si="0"/>
        <v>0.26016260162601623</v>
      </c>
      <c r="M25">
        <f t="shared" si="1"/>
        <v>12.3</v>
      </c>
      <c r="N25">
        <v>44.3</v>
      </c>
    </row>
    <row r="26" spans="2:14" x14ac:dyDescent="0.25">
      <c r="B26" s="145"/>
      <c r="C26" s="38">
        <v>20</v>
      </c>
      <c r="D26" s="79"/>
      <c r="E26" s="75" t="s">
        <v>33</v>
      </c>
      <c r="F26" s="93" t="s">
        <v>13</v>
      </c>
      <c r="G26" s="91">
        <v>4.0199999999999996</v>
      </c>
      <c r="H26" s="93" t="s">
        <v>13</v>
      </c>
      <c r="I26" s="100">
        <v>8.5</v>
      </c>
      <c r="J26" s="7">
        <v>4.0199999999999996</v>
      </c>
      <c r="K26" s="8">
        <v>8.5</v>
      </c>
      <c r="L26" s="58">
        <f t="shared" si="0"/>
        <v>0.32108626198083062</v>
      </c>
      <c r="M26">
        <f t="shared" si="1"/>
        <v>12.52</v>
      </c>
      <c r="N26">
        <v>62</v>
      </c>
    </row>
    <row r="27" spans="2:14" ht="15.75" thickBot="1" x14ac:dyDescent="0.3">
      <c r="B27" s="145"/>
      <c r="C27" s="39">
        <v>21</v>
      </c>
      <c r="D27" s="80"/>
      <c r="E27" s="76" t="s">
        <v>34</v>
      </c>
      <c r="F27" s="20" t="s">
        <v>13</v>
      </c>
      <c r="G27" s="21">
        <v>4.0199999999999996</v>
      </c>
      <c r="H27" s="20" t="s">
        <v>13</v>
      </c>
      <c r="I27" s="99">
        <v>9.5</v>
      </c>
      <c r="J27" s="23">
        <v>4.0199999999999996</v>
      </c>
      <c r="K27" s="24">
        <v>35.1</v>
      </c>
      <c r="L27" s="58">
        <f t="shared" si="0"/>
        <v>0.10276073619631899</v>
      </c>
      <c r="M27">
        <f t="shared" si="1"/>
        <v>39.120000000000005</v>
      </c>
      <c r="N27">
        <v>80</v>
      </c>
    </row>
    <row r="28" spans="2:14" x14ac:dyDescent="0.25">
      <c r="B28" s="146"/>
      <c r="C28" s="156" t="s">
        <v>35</v>
      </c>
      <c r="D28" s="157"/>
      <c r="E28" s="158"/>
      <c r="F28" s="95">
        <f t="shared" ref="F28:I28" si="2">COUNTIF(F7:F27,"O ")</f>
        <v>0</v>
      </c>
      <c r="G28" s="95">
        <f t="shared" si="2"/>
        <v>0</v>
      </c>
      <c r="H28" s="95">
        <f t="shared" si="2"/>
        <v>0</v>
      </c>
      <c r="I28" s="41">
        <f t="shared" si="2"/>
        <v>0</v>
      </c>
      <c r="J28" s="50">
        <f>SUM(J7:J27)</f>
        <v>97.110000000000014</v>
      </c>
      <c r="K28" s="51">
        <f>SUM(K7:K27)</f>
        <v>316.26000000000005</v>
      </c>
      <c r="L28" s="58">
        <f t="shared" si="0"/>
        <v>0.23492270846940996</v>
      </c>
      <c r="M28" s="90"/>
      <c r="N28" s="90"/>
    </row>
    <row r="29" spans="2:14" ht="15.75" thickBot="1" x14ac:dyDescent="0.3">
      <c r="B29" s="147"/>
      <c r="C29" s="159"/>
      <c r="D29" s="160"/>
      <c r="E29" s="161"/>
      <c r="F29" s="96">
        <f t="shared" ref="F29:I29" si="3">COUNTIF(F7:F27,"X")</f>
        <v>0</v>
      </c>
      <c r="G29" s="96">
        <f t="shared" si="3"/>
        <v>0</v>
      </c>
      <c r="H29" s="96">
        <f t="shared" si="3"/>
        <v>0</v>
      </c>
      <c r="I29" s="43">
        <f t="shared" si="3"/>
        <v>0</v>
      </c>
      <c r="J29" s="46">
        <f>J28/(J28+K28)</f>
        <v>0.23492270846940996</v>
      </c>
      <c r="K29" s="47">
        <f>K28/(K28+J28)</f>
        <v>0.76507729153059001</v>
      </c>
      <c r="M29" s="90"/>
      <c r="N29" s="90"/>
    </row>
    <row r="30" spans="2:14" x14ac:dyDescent="0.25">
      <c r="B30" s="144" t="s">
        <v>73</v>
      </c>
      <c r="C30" s="31">
        <v>1</v>
      </c>
      <c r="D30" s="81"/>
      <c r="E30" s="52" t="s">
        <v>34</v>
      </c>
      <c r="F30" s="72" t="s">
        <v>13</v>
      </c>
      <c r="G30" s="94">
        <v>4.0199999999999996</v>
      </c>
      <c r="H30" s="72" t="s">
        <v>13</v>
      </c>
      <c r="I30" s="10">
        <v>9.5</v>
      </c>
      <c r="J30" s="16">
        <v>4.0199999999999996</v>
      </c>
      <c r="K30" s="17">
        <v>35.1</v>
      </c>
      <c r="L30" s="58">
        <f t="shared" ref="L30:L58" si="4">J30/(J30+K30)</f>
        <v>0.10276073619631899</v>
      </c>
      <c r="M30">
        <f>K30+J30</f>
        <v>39.120000000000005</v>
      </c>
      <c r="N30">
        <v>80</v>
      </c>
    </row>
    <row r="31" spans="2:14" x14ac:dyDescent="0.25">
      <c r="B31" s="145"/>
      <c r="C31" s="33">
        <v>2</v>
      </c>
      <c r="D31" s="82"/>
      <c r="E31" s="53" t="s">
        <v>47</v>
      </c>
      <c r="F31" s="141" t="s">
        <v>13</v>
      </c>
      <c r="G31" s="141" t="s">
        <v>13</v>
      </c>
      <c r="H31" s="140">
        <v>1.1000000000000001</v>
      </c>
      <c r="I31" s="140">
        <v>10.4</v>
      </c>
      <c r="J31" s="7">
        <v>1.1000000000000001</v>
      </c>
      <c r="K31" s="8">
        <v>10.4</v>
      </c>
      <c r="L31" s="58">
        <f t="shared" si="4"/>
        <v>9.5652173913043481E-2</v>
      </c>
      <c r="M31">
        <f t="shared" ref="M31:M58" si="5">K31+J31</f>
        <v>11.5</v>
      </c>
      <c r="N31">
        <v>52</v>
      </c>
    </row>
    <row r="32" spans="2:14" x14ac:dyDescent="0.25">
      <c r="B32" s="145"/>
      <c r="C32" s="33">
        <v>3</v>
      </c>
      <c r="D32" s="82"/>
      <c r="E32" s="53" t="s">
        <v>48</v>
      </c>
      <c r="F32" s="141"/>
      <c r="G32" s="141"/>
      <c r="H32" s="140"/>
      <c r="I32" s="140"/>
      <c r="J32" s="7">
        <v>1.1000000000000001</v>
      </c>
      <c r="K32" s="8">
        <v>10.4</v>
      </c>
      <c r="L32" s="58">
        <f t="shared" si="4"/>
        <v>9.5652173913043481E-2</v>
      </c>
      <c r="M32">
        <f t="shared" si="5"/>
        <v>11.5</v>
      </c>
      <c r="N32">
        <v>52</v>
      </c>
    </row>
    <row r="33" spans="2:14" x14ac:dyDescent="0.25">
      <c r="B33" s="145"/>
      <c r="C33" s="33">
        <v>4</v>
      </c>
      <c r="D33" s="82"/>
      <c r="E33" s="53" t="s">
        <v>49</v>
      </c>
      <c r="F33" s="140">
        <v>3.02</v>
      </c>
      <c r="G33" s="141" t="s">
        <v>13</v>
      </c>
      <c r="H33" s="141" t="s">
        <v>13</v>
      </c>
      <c r="I33" s="140">
        <v>8.6</v>
      </c>
      <c r="J33" s="7">
        <v>3.02</v>
      </c>
      <c r="K33" s="8">
        <v>12.3</v>
      </c>
      <c r="L33" s="58">
        <f t="shared" si="4"/>
        <v>0.19712793733681461</v>
      </c>
      <c r="M33">
        <f t="shared" si="5"/>
        <v>15.32</v>
      </c>
      <c r="N33">
        <v>35</v>
      </c>
    </row>
    <row r="34" spans="2:14" x14ac:dyDescent="0.25">
      <c r="B34" s="145"/>
      <c r="C34" s="33">
        <v>5</v>
      </c>
      <c r="D34" s="82"/>
      <c r="E34" s="53" t="s">
        <v>50</v>
      </c>
      <c r="F34" s="140"/>
      <c r="G34" s="141"/>
      <c r="H34" s="141"/>
      <c r="I34" s="140"/>
      <c r="J34" s="7">
        <v>3.02</v>
      </c>
      <c r="K34" s="8">
        <v>12.3</v>
      </c>
      <c r="L34" s="58">
        <f t="shared" si="4"/>
        <v>0.19712793733681461</v>
      </c>
      <c r="M34">
        <f t="shared" si="5"/>
        <v>15.32</v>
      </c>
      <c r="N34">
        <v>35</v>
      </c>
    </row>
    <row r="35" spans="2:14" x14ac:dyDescent="0.25">
      <c r="B35" s="145"/>
      <c r="C35" s="33">
        <v>6</v>
      </c>
      <c r="D35" s="82"/>
      <c r="E35" s="53" t="s">
        <v>10</v>
      </c>
      <c r="F35" s="93" t="s">
        <v>13</v>
      </c>
      <c r="G35" s="91">
        <v>4.0199999999999996</v>
      </c>
      <c r="H35" s="93" t="s">
        <v>13</v>
      </c>
      <c r="I35" s="2">
        <v>9.5299999999999994</v>
      </c>
      <c r="J35" s="7">
        <v>4.0199999999999996</v>
      </c>
      <c r="K35" s="8">
        <v>11.83</v>
      </c>
      <c r="L35" s="58">
        <f t="shared" si="4"/>
        <v>0.25362776025236589</v>
      </c>
      <c r="M35">
        <f t="shared" si="5"/>
        <v>15.85</v>
      </c>
      <c r="N35">
        <v>54</v>
      </c>
    </row>
    <row r="36" spans="2:14" x14ac:dyDescent="0.25">
      <c r="B36" s="145"/>
      <c r="C36" s="33">
        <v>7</v>
      </c>
      <c r="D36" s="82"/>
      <c r="E36" s="53" t="s">
        <v>51</v>
      </c>
      <c r="F36" s="93" t="s">
        <v>13</v>
      </c>
      <c r="G36" s="93" t="s">
        <v>13</v>
      </c>
      <c r="H36" s="91">
        <v>3.75</v>
      </c>
      <c r="I36" s="2">
        <v>9.5</v>
      </c>
      <c r="J36" s="7">
        <v>9.75</v>
      </c>
      <c r="K36" s="8">
        <v>16.8</v>
      </c>
      <c r="L36" s="58">
        <f t="shared" si="4"/>
        <v>0.3672316384180791</v>
      </c>
      <c r="M36">
        <f t="shared" si="5"/>
        <v>26.55</v>
      </c>
      <c r="N36">
        <v>60</v>
      </c>
    </row>
    <row r="37" spans="2:14" x14ac:dyDescent="0.25">
      <c r="B37" s="145"/>
      <c r="C37" s="33">
        <v>8</v>
      </c>
      <c r="D37" s="82"/>
      <c r="E37" s="53" t="s">
        <v>33</v>
      </c>
      <c r="F37" s="2">
        <v>3.02</v>
      </c>
      <c r="G37" s="93" t="s">
        <v>13</v>
      </c>
      <c r="H37" s="93" t="s">
        <v>13</v>
      </c>
      <c r="I37" s="2">
        <v>8.5</v>
      </c>
      <c r="J37" s="7">
        <v>3.02</v>
      </c>
      <c r="K37" s="8">
        <v>25.9</v>
      </c>
      <c r="L37" s="58">
        <f t="shared" si="4"/>
        <v>0.10442600276625173</v>
      </c>
      <c r="M37">
        <f t="shared" si="5"/>
        <v>28.919999999999998</v>
      </c>
      <c r="N37">
        <v>62</v>
      </c>
    </row>
    <row r="38" spans="2:14" x14ac:dyDescent="0.25">
      <c r="B38" s="145"/>
      <c r="C38" s="33">
        <v>9</v>
      </c>
      <c r="D38" s="82"/>
      <c r="E38" s="53" t="s">
        <v>52</v>
      </c>
      <c r="F38" s="93" t="s">
        <v>13</v>
      </c>
      <c r="G38" s="93" t="s">
        <v>13</v>
      </c>
      <c r="H38" s="91">
        <v>3.75</v>
      </c>
      <c r="I38" s="2">
        <v>8.5</v>
      </c>
      <c r="J38" s="7">
        <v>3.75</v>
      </c>
      <c r="K38" s="8">
        <v>25.9</v>
      </c>
      <c r="L38" s="58">
        <f t="shared" si="4"/>
        <v>0.12647554806070826</v>
      </c>
      <c r="M38">
        <f t="shared" si="5"/>
        <v>29.65</v>
      </c>
      <c r="N38">
        <v>68.599999999999994</v>
      </c>
    </row>
    <row r="39" spans="2:14" x14ac:dyDescent="0.25">
      <c r="B39" s="145"/>
      <c r="C39" s="33">
        <v>10</v>
      </c>
      <c r="D39" s="82"/>
      <c r="E39" s="53" t="s">
        <v>53</v>
      </c>
      <c r="F39" s="93" t="s">
        <v>13</v>
      </c>
      <c r="G39" s="93" t="s">
        <v>13</v>
      </c>
      <c r="H39" s="91">
        <v>3.75</v>
      </c>
      <c r="I39" s="2">
        <v>8.5</v>
      </c>
      <c r="J39" s="7">
        <v>3.75</v>
      </c>
      <c r="K39" s="8">
        <v>25.9</v>
      </c>
      <c r="L39" s="58">
        <f t="shared" si="4"/>
        <v>0.12647554806070826</v>
      </c>
      <c r="M39">
        <f t="shared" si="5"/>
        <v>29.65</v>
      </c>
      <c r="N39">
        <v>75.7</v>
      </c>
    </row>
    <row r="40" spans="2:14" x14ac:dyDescent="0.25">
      <c r="B40" s="145"/>
      <c r="C40" s="33">
        <v>11</v>
      </c>
      <c r="D40" s="82"/>
      <c r="E40" s="53" t="s">
        <v>54</v>
      </c>
      <c r="F40" s="93" t="s">
        <v>13</v>
      </c>
      <c r="G40" s="91">
        <v>4.2</v>
      </c>
      <c r="H40" s="91">
        <v>3.75</v>
      </c>
      <c r="I40" s="2">
        <v>6.56</v>
      </c>
      <c r="J40" s="7">
        <v>3.75</v>
      </c>
      <c r="K40" s="8">
        <v>23</v>
      </c>
      <c r="L40" s="58">
        <f t="shared" si="4"/>
        <v>0.14018691588785046</v>
      </c>
      <c r="M40">
        <f t="shared" si="5"/>
        <v>26.75</v>
      </c>
      <c r="N40">
        <v>52.5</v>
      </c>
    </row>
    <row r="41" spans="2:14" x14ac:dyDescent="0.25">
      <c r="B41" s="145"/>
      <c r="C41" s="33">
        <v>12</v>
      </c>
      <c r="D41" s="82"/>
      <c r="E41" s="53" t="s">
        <v>55</v>
      </c>
      <c r="F41" s="141" t="s">
        <v>13</v>
      </c>
      <c r="G41" s="141" t="s">
        <v>13</v>
      </c>
      <c r="H41" s="139">
        <v>3.75</v>
      </c>
      <c r="I41" s="140">
        <v>6.56</v>
      </c>
      <c r="J41" s="7">
        <v>3.75</v>
      </c>
      <c r="K41" s="8">
        <v>23</v>
      </c>
      <c r="L41" s="58">
        <f t="shared" si="4"/>
        <v>0.14018691588785046</v>
      </c>
      <c r="M41">
        <f t="shared" si="5"/>
        <v>26.75</v>
      </c>
      <c r="N41">
        <v>72.2</v>
      </c>
    </row>
    <row r="42" spans="2:14" x14ac:dyDescent="0.25">
      <c r="B42" s="145"/>
      <c r="C42" s="33">
        <v>13</v>
      </c>
      <c r="D42" s="82"/>
      <c r="E42" s="53" t="s">
        <v>56</v>
      </c>
      <c r="F42" s="141"/>
      <c r="G42" s="141"/>
      <c r="H42" s="139"/>
      <c r="I42" s="140"/>
      <c r="J42" s="7">
        <v>3.75</v>
      </c>
      <c r="K42" s="8">
        <v>23</v>
      </c>
      <c r="L42" s="58">
        <f t="shared" si="4"/>
        <v>0.14018691588785046</v>
      </c>
      <c r="M42">
        <f t="shared" si="5"/>
        <v>26.75</v>
      </c>
      <c r="N42">
        <v>72.2</v>
      </c>
    </row>
    <row r="43" spans="2:14" x14ac:dyDescent="0.25">
      <c r="B43" s="145"/>
      <c r="C43" s="33">
        <v>14</v>
      </c>
      <c r="D43" s="82"/>
      <c r="E43" s="53" t="s">
        <v>57</v>
      </c>
      <c r="F43" s="141" t="s">
        <v>13</v>
      </c>
      <c r="G43" s="139">
        <v>4.0199999999999996</v>
      </c>
      <c r="H43" s="141" t="s">
        <v>13</v>
      </c>
      <c r="I43" s="140">
        <v>9.5</v>
      </c>
      <c r="J43" s="7">
        <v>4.0199999999999996</v>
      </c>
      <c r="K43" s="8">
        <v>9.5</v>
      </c>
      <c r="L43" s="58">
        <f t="shared" si="4"/>
        <v>0.29733727810650884</v>
      </c>
      <c r="M43">
        <f t="shared" si="5"/>
        <v>13.52</v>
      </c>
      <c r="N43">
        <v>51.3</v>
      </c>
    </row>
    <row r="44" spans="2:14" x14ac:dyDescent="0.25">
      <c r="B44" s="145"/>
      <c r="C44" s="33">
        <v>15</v>
      </c>
      <c r="D44" s="82"/>
      <c r="E44" s="53" t="s">
        <v>58</v>
      </c>
      <c r="F44" s="141"/>
      <c r="G44" s="139"/>
      <c r="H44" s="141"/>
      <c r="I44" s="140"/>
      <c r="J44" s="7">
        <v>4.0199999999999996</v>
      </c>
      <c r="K44" s="8">
        <v>9.5</v>
      </c>
      <c r="L44" s="58">
        <f t="shared" si="4"/>
        <v>0.29733727810650884</v>
      </c>
      <c r="M44">
        <f t="shared" si="5"/>
        <v>13.52</v>
      </c>
      <c r="N44">
        <v>51.3</v>
      </c>
    </row>
    <row r="45" spans="2:14" x14ac:dyDescent="0.25">
      <c r="B45" s="145"/>
      <c r="C45" s="33">
        <v>16</v>
      </c>
      <c r="D45" s="82"/>
      <c r="E45" s="53" t="s">
        <v>59</v>
      </c>
      <c r="F45" s="141" t="s">
        <v>13</v>
      </c>
      <c r="G45" s="139">
        <v>4.0199999999999996</v>
      </c>
      <c r="H45" s="141" t="s">
        <v>13</v>
      </c>
      <c r="I45" s="140">
        <v>9.5</v>
      </c>
      <c r="J45" s="7">
        <v>4.0199999999999996</v>
      </c>
      <c r="K45" s="8">
        <v>9.5</v>
      </c>
      <c r="L45" s="58">
        <f t="shared" si="4"/>
        <v>0.29733727810650884</v>
      </c>
      <c r="M45">
        <f t="shared" si="5"/>
        <v>13.52</v>
      </c>
      <c r="N45">
        <v>57.6</v>
      </c>
    </row>
    <row r="46" spans="2:14" x14ac:dyDescent="0.25">
      <c r="B46" s="145"/>
      <c r="C46" s="33">
        <v>17</v>
      </c>
      <c r="D46" s="82"/>
      <c r="E46" s="53" t="s">
        <v>60</v>
      </c>
      <c r="F46" s="141"/>
      <c r="G46" s="139"/>
      <c r="H46" s="141"/>
      <c r="I46" s="140"/>
      <c r="J46" s="7">
        <v>4.0199999999999996</v>
      </c>
      <c r="K46" s="8">
        <v>9.5</v>
      </c>
      <c r="L46" s="58">
        <f t="shared" si="4"/>
        <v>0.29733727810650884</v>
      </c>
      <c r="M46">
        <f t="shared" si="5"/>
        <v>13.52</v>
      </c>
      <c r="N46">
        <v>57.6</v>
      </c>
    </row>
    <row r="47" spans="2:14" x14ac:dyDescent="0.25">
      <c r="B47" s="145"/>
      <c r="C47" s="33">
        <v>18</v>
      </c>
      <c r="D47" s="82"/>
      <c r="E47" s="53" t="s">
        <v>61</v>
      </c>
      <c r="F47" s="93" t="s">
        <v>13</v>
      </c>
      <c r="G47" s="93" t="s">
        <v>13</v>
      </c>
      <c r="H47" s="91">
        <v>3.75</v>
      </c>
      <c r="I47" s="2">
        <v>9.5</v>
      </c>
      <c r="J47" s="7">
        <v>3.75</v>
      </c>
      <c r="K47" s="8">
        <v>11.8</v>
      </c>
      <c r="L47" s="58">
        <f t="shared" si="4"/>
        <v>0.24115755627009644</v>
      </c>
      <c r="M47">
        <f t="shared" si="5"/>
        <v>15.55</v>
      </c>
      <c r="N47">
        <v>45</v>
      </c>
    </row>
    <row r="48" spans="2:14" x14ac:dyDescent="0.25">
      <c r="B48" s="145"/>
      <c r="C48" s="33">
        <v>19</v>
      </c>
      <c r="D48" s="82"/>
      <c r="E48" s="53" t="s">
        <v>62</v>
      </c>
      <c r="F48" s="2"/>
      <c r="G48" s="93" t="s">
        <v>13</v>
      </c>
      <c r="H48" s="93">
        <v>3.75</v>
      </c>
      <c r="I48" s="2">
        <v>9.5</v>
      </c>
      <c r="J48" s="7">
        <v>3.75</v>
      </c>
      <c r="K48" s="8">
        <v>11.8</v>
      </c>
      <c r="L48" s="58">
        <f t="shared" si="4"/>
        <v>0.24115755627009644</v>
      </c>
      <c r="M48">
        <f t="shared" si="5"/>
        <v>15.55</v>
      </c>
      <c r="N48">
        <v>45</v>
      </c>
    </row>
    <row r="49" spans="2:15" x14ac:dyDescent="0.25">
      <c r="B49" s="145"/>
      <c r="C49" s="33">
        <v>20</v>
      </c>
      <c r="D49" s="82"/>
      <c r="E49" s="53" t="s">
        <v>63</v>
      </c>
      <c r="F49" s="93" t="s">
        <v>13</v>
      </c>
      <c r="G49" s="93" t="s">
        <v>13</v>
      </c>
      <c r="H49" s="91">
        <v>2.36</v>
      </c>
      <c r="I49" s="2">
        <v>9.5</v>
      </c>
      <c r="J49" s="7">
        <v>2.36</v>
      </c>
      <c r="K49" s="8">
        <v>11.8</v>
      </c>
      <c r="L49" s="58">
        <f t="shared" si="4"/>
        <v>0.16666666666666666</v>
      </c>
      <c r="M49">
        <f t="shared" si="5"/>
        <v>14.16</v>
      </c>
      <c r="N49">
        <v>49.7</v>
      </c>
    </row>
    <row r="50" spans="2:15" x14ac:dyDescent="0.25">
      <c r="B50" s="145"/>
      <c r="C50" s="33">
        <v>21</v>
      </c>
      <c r="D50" s="82"/>
      <c r="E50" s="53" t="s">
        <v>64</v>
      </c>
      <c r="F50" s="93" t="s">
        <v>13</v>
      </c>
      <c r="G50" s="93" t="s">
        <v>13</v>
      </c>
      <c r="H50" s="91">
        <v>2.36</v>
      </c>
      <c r="I50" s="2">
        <v>9.5</v>
      </c>
      <c r="J50" s="7">
        <v>2.36</v>
      </c>
      <c r="K50" s="8">
        <v>9.5</v>
      </c>
      <c r="L50" s="58">
        <f t="shared" si="4"/>
        <v>0.19898819561551434</v>
      </c>
      <c r="M50">
        <f t="shared" si="5"/>
        <v>11.86</v>
      </c>
      <c r="N50">
        <v>48.2</v>
      </c>
    </row>
    <row r="51" spans="2:15" x14ac:dyDescent="0.25">
      <c r="B51" s="145"/>
      <c r="C51" s="33">
        <v>22</v>
      </c>
      <c r="D51" s="82"/>
      <c r="E51" s="53" t="s">
        <v>65</v>
      </c>
      <c r="F51" s="93" t="s">
        <v>13</v>
      </c>
      <c r="G51" s="93" t="s">
        <v>13</v>
      </c>
      <c r="H51" s="91">
        <v>2.36</v>
      </c>
      <c r="I51" s="2">
        <v>9.5</v>
      </c>
      <c r="J51" s="7">
        <v>2.36</v>
      </c>
      <c r="K51" s="8">
        <v>9.5</v>
      </c>
      <c r="L51" s="58">
        <f t="shared" si="4"/>
        <v>0.19898819561551434</v>
      </c>
      <c r="M51">
        <f t="shared" si="5"/>
        <v>11.86</v>
      </c>
      <c r="N51">
        <v>48.2</v>
      </c>
    </row>
    <row r="52" spans="2:15" x14ac:dyDescent="0.25">
      <c r="B52" s="145"/>
      <c r="C52" s="33">
        <v>23</v>
      </c>
      <c r="D52" s="82"/>
      <c r="E52" s="53" t="s">
        <v>66</v>
      </c>
      <c r="F52" s="93" t="s">
        <v>13</v>
      </c>
      <c r="G52" s="93" t="s">
        <v>13</v>
      </c>
      <c r="H52" s="91">
        <v>2.36</v>
      </c>
      <c r="I52" s="2">
        <v>10.4</v>
      </c>
      <c r="J52" s="7">
        <v>2.36</v>
      </c>
      <c r="K52" s="8">
        <v>10.4</v>
      </c>
      <c r="L52" s="58">
        <f t="shared" si="4"/>
        <v>0.18495297805642633</v>
      </c>
      <c r="M52">
        <f t="shared" si="5"/>
        <v>12.76</v>
      </c>
      <c r="N52">
        <v>61</v>
      </c>
    </row>
    <row r="53" spans="2:15" x14ac:dyDescent="0.25">
      <c r="B53" s="145"/>
      <c r="C53" s="33">
        <v>24</v>
      </c>
      <c r="D53" s="82"/>
      <c r="E53" s="53" t="s">
        <v>67</v>
      </c>
      <c r="F53" s="93" t="s">
        <v>13</v>
      </c>
      <c r="G53" s="93" t="s">
        <v>13</v>
      </c>
      <c r="H53" s="91">
        <v>2.36</v>
      </c>
      <c r="I53" s="2">
        <v>10.4</v>
      </c>
      <c r="J53" s="7">
        <v>2.36</v>
      </c>
      <c r="K53" s="8">
        <v>10.4</v>
      </c>
      <c r="L53" s="58">
        <f t="shared" si="4"/>
        <v>0.18495297805642633</v>
      </c>
      <c r="M53">
        <f t="shared" si="5"/>
        <v>12.76</v>
      </c>
      <c r="N53">
        <v>51.4</v>
      </c>
    </row>
    <row r="54" spans="2:15" x14ac:dyDescent="0.25">
      <c r="B54" s="145"/>
      <c r="C54" s="33">
        <v>25</v>
      </c>
      <c r="D54" s="82"/>
      <c r="E54" s="53" t="s">
        <v>68</v>
      </c>
      <c r="F54" s="93" t="s">
        <v>13</v>
      </c>
      <c r="G54" s="93" t="s">
        <v>13</v>
      </c>
      <c r="H54" s="91">
        <v>2.36</v>
      </c>
      <c r="I54" s="2">
        <v>10.4</v>
      </c>
      <c r="J54" s="7">
        <v>2.36</v>
      </c>
      <c r="K54" s="8">
        <v>10.4</v>
      </c>
      <c r="L54" s="58">
        <f t="shared" si="4"/>
        <v>0.18495297805642633</v>
      </c>
      <c r="M54">
        <f t="shared" si="5"/>
        <v>12.76</v>
      </c>
      <c r="N54">
        <v>48.8</v>
      </c>
    </row>
    <row r="55" spans="2:15" x14ac:dyDescent="0.25">
      <c r="B55" s="145"/>
      <c r="C55" s="33">
        <v>26</v>
      </c>
      <c r="D55" s="82"/>
      <c r="E55" s="53" t="s">
        <v>69</v>
      </c>
      <c r="F55" s="2">
        <v>1.1000000000000001</v>
      </c>
      <c r="G55" s="93" t="s">
        <v>13</v>
      </c>
      <c r="H55" s="93" t="s">
        <v>13</v>
      </c>
      <c r="I55" s="2">
        <v>9.5</v>
      </c>
      <c r="J55" s="7">
        <v>1.1000000000000001</v>
      </c>
      <c r="K55" s="8">
        <v>9.5</v>
      </c>
      <c r="L55" s="58">
        <f t="shared" si="4"/>
        <v>0.1037735849056604</v>
      </c>
      <c r="M55">
        <f t="shared" si="5"/>
        <v>10.6</v>
      </c>
      <c r="N55" s="98">
        <v>48.2</v>
      </c>
    </row>
    <row r="56" spans="2:15" x14ac:dyDescent="0.25">
      <c r="B56" s="145"/>
      <c r="C56" s="33">
        <v>27</v>
      </c>
      <c r="D56" s="82"/>
      <c r="E56" s="53" t="s">
        <v>70</v>
      </c>
      <c r="F56" s="93" t="s">
        <v>13</v>
      </c>
      <c r="G56" s="93" t="s">
        <v>13</v>
      </c>
      <c r="H56" s="91">
        <v>2.36</v>
      </c>
      <c r="I56" s="2">
        <v>9.5</v>
      </c>
      <c r="J56" s="7">
        <v>2.36</v>
      </c>
      <c r="K56" s="8">
        <v>9.5</v>
      </c>
      <c r="L56" s="58">
        <f t="shared" si="4"/>
        <v>0.19898819561551434</v>
      </c>
      <c r="M56">
        <f t="shared" si="5"/>
        <v>11.86</v>
      </c>
      <c r="N56" s="98">
        <v>48.2</v>
      </c>
    </row>
    <row r="57" spans="2:15" x14ac:dyDescent="0.25">
      <c r="B57" s="145"/>
      <c r="C57" s="33">
        <v>28</v>
      </c>
      <c r="D57" s="82"/>
      <c r="E57" s="53" t="s">
        <v>71</v>
      </c>
      <c r="F57" s="2">
        <v>1.1000000000000001</v>
      </c>
      <c r="G57" s="93" t="s">
        <v>13</v>
      </c>
      <c r="H57" s="93" t="s">
        <v>13</v>
      </c>
      <c r="I57" s="2">
        <v>9.5</v>
      </c>
      <c r="J57" s="7">
        <v>1.1000000000000001</v>
      </c>
      <c r="K57" s="8">
        <v>9.5</v>
      </c>
      <c r="L57" s="58">
        <f t="shared" si="4"/>
        <v>0.1037735849056604</v>
      </c>
      <c r="M57">
        <f t="shared" si="5"/>
        <v>10.6</v>
      </c>
      <c r="N57" s="98">
        <v>48.2</v>
      </c>
    </row>
    <row r="58" spans="2:15" ht="15.75" thickBot="1" x14ac:dyDescent="0.3">
      <c r="B58" s="145"/>
      <c r="C58" s="35">
        <v>29</v>
      </c>
      <c r="D58" s="83"/>
      <c r="E58" s="54" t="s">
        <v>72</v>
      </c>
      <c r="F58" s="25">
        <v>1.1000000000000001</v>
      </c>
      <c r="G58" s="20" t="s">
        <v>13</v>
      </c>
      <c r="H58" s="20" t="s">
        <v>13</v>
      </c>
      <c r="I58" s="25">
        <v>9.5</v>
      </c>
      <c r="J58" s="23">
        <v>1.1000000000000001</v>
      </c>
      <c r="K58" s="24">
        <v>9.5</v>
      </c>
      <c r="L58" s="58">
        <f t="shared" si="4"/>
        <v>0.1037735849056604</v>
      </c>
      <c r="M58">
        <f t="shared" si="5"/>
        <v>10.6</v>
      </c>
      <c r="N58">
        <v>48.2</v>
      </c>
    </row>
    <row r="59" spans="2:15" x14ac:dyDescent="0.25">
      <c r="B59" s="146"/>
      <c r="C59" s="152" t="s">
        <v>35</v>
      </c>
      <c r="D59" s="152"/>
      <c r="E59" s="152"/>
      <c r="F59" s="95">
        <f t="shared" ref="F59:I59" si="6">COUNTIF(F30:F58,"O ")</f>
        <v>0</v>
      </c>
      <c r="G59" s="95">
        <f t="shared" si="6"/>
        <v>0</v>
      </c>
      <c r="H59" s="95">
        <f t="shared" si="6"/>
        <v>0</v>
      </c>
      <c r="I59" s="41">
        <f t="shared" si="6"/>
        <v>0</v>
      </c>
      <c r="J59" s="48">
        <f>SUM(J30:J58)</f>
        <v>91.19999999999996</v>
      </c>
      <c r="K59" s="49">
        <f>SUM(K38:K58)</f>
        <v>282.40000000000009</v>
      </c>
      <c r="M59" s="90"/>
      <c r="N59" s="90"/>
    </row>
    <row r="60" spans="2:15" ht="15.75" thickBot="1" x14ac:dyDescent="0.3">
      <c r="B60" s="147"/>
      <c r="C60" s="153"/>
      <c r="D60" s="153"/>
      <c r="E60" s="153"/>
      <c r="F60" s="96">
        <f t="shared" ref="F60:I60" si="7">COUNTIF(F30:F58,"X")</f>
        <v>0</v>
      </c>
      <c r="G60" s="96">
        <f t="shared" si="7"/>
        <v>0</v>
      </c>
      <c r="H60" s="96">
        <f t="shared" si="7"/>
        <v>0</v>
      </c>
      <c r="I60" s="43">
        <f t="shared" si="7"/>
        <v>0</v>
      </c>
      <c r="J60" s="44">
        <f>J59/(J59+K59)</f>
        <v>0.24411134903640244</v>
      </c>
      <c r="K60" s="45">
        <f>K59/(K59+J59)</f>
        <v>0.75588865096359759</v>
      </c>
      <c r="M60" s="90">
        <f>SUM(M7:M59)</f>
        <v>921.99999999999977</v>
      </c>
      <c r="N60" s="90">
        <f>SUM(N7:N59)</f>
        <v>2839.6299999999992</v>
      </c>
      <c r="O60" s="106">
        <v>0.32400000000000001</v>
      </c>
    </row>
  </sheetData>
  <mergeCells count="55">
    <mergeCell ref="K4:K6"/>
    <mergeCell ref="F5:H5"/>
    <mergeCell ref="B4:B6"/>
    <mergeCell ref="C4:C6"/>
    <mergeCell ref="D4:E6"/>
    <mergeCell ref="F4:I4"/>
    <mergeCell ref="J4:J6"/>
    <mergeCell ref="I8:I10"/>
    <mergeCell ref="F11:F13"/>
    <mergeCell ref="G11:G13"/>
    <mergeCell ref="H11:H13"/>
    <mergeCell ref="I11:I13"/>
    <mergeCell ref="G14:G15"/>
    <mergeCell ref="H14:H15"/>
    <mergeCell ref="I14:I15"/>
    <mergeCell ref="F16:F18"/>
    <mergeCell ref="G16:G18"/>
    <mergeCell ref="H16:H18"/>
    <mergeCell ref="I16:I18"/>
    <mergeCell ref="F14:F15"/>
    <mergeCell ref="G19:G20"/>
    <mergeCell ref="H19:H20"/>
    <mergeCell ref="I19:I20"/>
    <mergeCell ref="F24:F25"/>
    <mergeCell ref="G24:G25"/>
    <mergeCell ref="H24:H25"/>
    <mergeCell ref="I24:I25"/>
    <mergeCell ref="I31:I32"/>
    <mergeCell ref="F33:F34"/>
    <mergeCell ref="G33:G34"/>
    <mergeCell ref="H33:H34"/>
    <mergeCell ref="I33:I34"/>
    <mergeCell ref="C28:E29"/>
    <mergeCell ref="B30:B60"/>
    <mergeCell ref="F31:F32"/>
    <mergeCell ref="G31:G32"/>
    <mergeCell ref="H31:H32"/>
    <mergeCell ref="B7:B29"/>
    <mergeCell ref="F8:F10"/>
    <mergeCell ref="G8:G10"/>
    <mergeCell ref="H8:H10"/>
    <mergeCell ref="F41:F42"/>
    <mergeCell ref="G41:G42"/>
    <mergeCell ref="H41:H42"/>
    <mergeCell ref="F45:F46"/>
    <mergeCell ref="G45:G46"/>
    <mergeCell ref="H45:H46"/>
    <mergeCell ref="F19:F20"/>
    <mergeCell ref="I45:I46"/>
    <mergeCell ref="C59:E60"/>
    <mergeCell ref="I41:I42"/>
    <mergeCell ref="F43:F44"/>
    <mergeCell ref="G43:G44"/>
    <mergeCell ref="H43:H44"/>
    <mergeCell ref="I43:I44"/>
  </mergeCells>
  <conditionalFormatting sqref="L7:L28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{A48C54B1-8968-4DC8-B756-F4DA07EBA56A}</x14:id>
        </ext>
      </extLst>
    </cfRule>
  </conditionalFormatting>
  <conditionalFormatting sqref="L30:L5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{BBD1D906-90F7-4A99-90CC-4DBDE99A6094}</x14:id>
        </ext>
      </extLst>
    </cfRule>
  </conditionalFormatting>
  <pageMargins left="0.7" right="0.7" top="0.75" bottom="0.75" header="0.3" footer="0.3"/>
  <pageSetup scale="50" orientation="landscape" horizontalDpi="4294967293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8C54B1-8968-4DC8-B756-F4DA07EBA5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L7:L28</xm:sqref>
        </x14:conditionalFormatting>
        <x14:conditionalFormatting xmlns:xm="http://schemas.microsoft.com/office/excel/2006/main">
          <x14:cfRule type="dataBar" id="{BBD1D906-90F7-4A99-90CC-4DBDE99A60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L30:L58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928D-D6BE-47F4-AF94-38C2922DBFBA}">
  <dimension ref="B2:O30"/>
  <sheetViews>
    <sheetView zoomScale="71" zoomScaleNormal="71" workbookViewId="0">
      <selection activeCell="N37" sqref="N37"/>
    </sheetView>
  </sheetViews>
  <sheetFormatPr defaultRowHeight="15" x14ac:dyDescent="0.25"/>
  <cols>
    <col min="1" max="1" width="3.28515625" customWidth="1"/>
    <col min="2" max="2" width="13.140625" customWidth="1"/>
    <col min="3" max="4" width="5.140625" style="1" customWidth="1"/>
    <col min="5" max="5" width="15.140625" style="1" customWidth="1"/>
    <col min="6" max="9" width="13.42578125" style="1" customWidth="1"/>
    <col min="10" max="10" width="12.85546875" customWidth="1"/>
    <col min="11" max="11" width="18.28515625" customWidth="1"/>
    <col min="12" max="12" width="26.42578125" customWidth="1"/>
  </cols>
  <sheetData>
    <row r="2" spans="2:14" ht="25.5" x14ac:dyDescent="0.35">
      <c r="B2" s="27" t="s">
        <v>83</v>
      </c>
    </row>
    <row r="3" spans="2:14" ht="15.75" thickBot="1" x14ac:dyDescent="0.3">
      <c r="B3" s="26"/>
    </row>
    <row r="4" spans="2:14" x14ac:dyDescent="0.25">
      <c r="B4" s="163" t="s">
        <v>38</v>
      </c>
      <c r="C4" s="166" t="s">
        <v>0</v>
      </c>
      <c r="D4" s="178" t="s">
        <v>1</v>
      </c>
      <c r="E4" s="179"/>
      <c r="F4" s="169"/>
      <c r="G4" s="169"/>
      <c r="H4" s="169"/>
      <c r="I4" s="170"/>
      <c r="J4" s="184" t="s">
        <v>4</v>
      </c>
      <c r="K4" s="174" t="s">
        <v>81</v>
      </c>
    </row>
    <row r="5" spans="2:14" x14ac:dyDescent="0.25">
      <c r="B5" s="164"/>
      <c r="C5" s="167"/>
      <c r="D5" s="180"/>
      <c r="E5" s="181"/>
      <c r="F5" s="177" t="s">
        <v>4</v>
      </c>
      <c r="G5" s="177"/>
      <c r="H5" s="177"/>
      <c r="I5" s="9" t="s">
        <v>5</v>
      </c>
      <c r="J5" s="185"/>
      <c r="K5" s="175"/>
    </row>
    <row r="6" spans="2:14" ht="29.25" customHeight="1" thickBot="1" x14ac:dyDescent="0.3">
      <c r="B6" s="165"/>
      <c r="C6" s="168"/>
      <c r="D6" s="182"/>
      <c r="E6" s="183"/>
      <c r="F6" s="56" t="s">
        <v>8</v>
      </c>
      <c r="G6" s="55" t="s">
        <v>43</v>
      </c>
      <c r="H6" s="56" t="s">
        <v>9</v>
      </c>
      <c r="I6" s="18" t="s">
        <v>44</v>
      </c>
      <c r="J6" s="186"/>
      <c r="K6" s="176"/>
      <c r="L6" s="57" t="s">
        <v>75</v>
      </c>
      <c r="M6" t="s">
        <v>78</v>
      </c>
      <c r="N6" s="89" t="s">
        <v>79</v>
      </c>
    </row>
    <row r="7" spans="2:14" x14ac:dyDescent="0.25">
      <c r="B7" s="144" t="s">
        <v>84</v>
      </c>
      <c r="C7" s="37">
        <v>1</v>
      </c>
      <c r="D7" s="77"/>
      <c r="E7" s="121" t="s">
        <v>89</v>
      </c>
      <c r="F7" s="14">
        <v>4.0199999999999996</v>
      </c>
      <c r="G7" s="13" t="s">
        <v>13</v>
      </c>
      <c r="H7" s="13" t="s">
        <v>13</v>
      </c>
      <c r="I7" s="15">
        <v>9.5299999999999994</v>
      </c>
      <c r="J7" s="16">
        <v>4.0199999999999996</v>
      </c>
      <c r="K7" s="17">
        <v>13.55</v>
      </c>
      <c r="L7" s="58">
        <f t="shared" ref="L7:L24" si="0">J7/(J7+K7)</f>
        <v>0.22879908935685825</v>
      </c>
      <c r="M7">
        <f>J7+K7</f>
        <v>17.57</v>
      </c>
      <c r="N7">
        <v>36.200000000000003</v>
      </c>
    </row>
    <row r="8" spans="2:14" x14ac:dyDescent="0.25">
      <c r="B8" s="145"/>
      <c r="C8" s="38">
        <v>2</v>
      </c>
      <c r="D8" s="78"/>
      <c r="E8" s="122" t="s">
        <v>90</v>
      </c>
      <c r="F8" s="136">
        <v>4.0199999999999996</v>
      </c>
      <c r="G8" s="134" t="s">
        <v>13</v>
      </c>
      <c r="H8" s="115" t="s">
        <v>13</v>
      </c>
      <c r="I8" s="127">
        <v>9.5299999999999994</v>
      </c>
      <c r="J8" s="137">
        <v>4.0199999999999996</v>
      </c>
      <c r="K8" s="138">
        <v>11.83</v>
      </c>
      <c r="L8" s="58">
        <f t="shared" si="0"/>
        <v>0.25362776025236589</v>
      </c>
      <c r="M8">
        <f t="shared" ref="M8:M23" si="1">J8+K8</f>
        <v>15.85</v>
      </c>
      <c r="N8">
        <v>37.6</v>
      </c>
    </row>
    <row r="9" spans="2:14" x14ac:dyDescent="0.25">
      <c r="B9" s="145"/>
      <c r="C9" s="38">
        <v>3</v>
      </c>
      <c r="D9" s="78"/>
      <c r="E9" s="122" t="s">
        <v>91</v>
      </c>
      <c r="F9" s="136">
        <v>4.0199999999999996</v>
      </c>
      <c r="G9" s="134" t="s">
        <v>13</v>
      </c>
      <c r="H9" s="115"/>
      <c r="I9" s="127">
        <v>9.5299999999999994</v>
      </c>
      <c r="J9" s="7">
        <v>3.75</v>
      </c>
      <c r="K9" s="8">
        <v>19.98</v>
      </c>
      <c r="L9" s="58">
        <f t="shared" si="0"/>
        <v>0.15802781289506954</v>
      </c>
      <c r="M9">
        <f t="shared" si="1"/>
        <v>23.73</v>
      </c>
      <c r="N9">
        <v>45.1</v>
      </c>
    </row>
    <row r="10" spans="2:14" x14ac:dyDescent="0.25">
      <c r="B10" s="145"/>
      <c r="C10" s="38">
        <v>4</v>
      </c>
      <c r="D10" s="78"/>
      <c r="E10" s="122" t="s">
        <v>92</v>
      </c>
      <c r="F10" s="114" t="s">
        <v>13</v>
      </c>
      <c r="G10" s="113">
        <v>4.0199999999999996</v>
      </c>
      <c r="H10" s="114" t="s">
        <v>13</v>
      </c>
      <c r="I10" s="100">
        <v>8.5</v>
      </c>
      <c r="J10" s="7">
        <v>3.75</v>
      </c>
      <c r="K10" s="8">
        <v>19.98</v>
      </c>
      <c r="L10" s="58">
        <f t="shared" si="0"/>
        <v>0.15802781289506954</v>
      </c>
      <c r="M10">
        <f t="shared" si="1"/>
        <v>23.73</v>
      </c>
      <c r="N10">
        <v>43.8</v>
      </c>
    </row>
    <row r="11" spans="2:14" x14ac:dyDescent="0.25">
      <c r="B11" s="145"/>
      <c r="C11" s="38">
        <v>5</v>
      </c>
      <c r="D11" s="78"/>
      <c r="E11" s="122" t="s">
        <v>93</v>
      </c>
      <c r="F11" s="115" t="s">
        <v>13</v>
      </c>
      <c r="G11" s="116">
        <v>4.0199999999999996</v>
      </c>
      <c r="H11" s="115" t="s">
        <v>13</v>
      </c>
      <c r="I11" s="127">
        <v>9.5299999999999994</v>
      </c>
      <c r="J11" s="137">
        <v>4.0199999999999996</v>
      </c>
      <c r="K11" s="138">
        <v>11.83</v>
      </c>
      <c r="L11" s="58">
        <f t="shared" si="0"/>
        <v>0.25362776025236589</v>
      </c>
      <c r="M11">
        <f t="shared" si="1"/>
        <v>15.85</v>
      </c>
      <c r="N11">
        <v>54.3</v>
      </c>
    </row>
    <row r="12" spans="2:14" x14ac:dyDescent="0.25">
      <c r="B12" s="145"/>
      <c r="C12" s="38">
        <v>6</v>
      </c>
      <c r="D12" s="78"/>
      <c r="E12" s="122" t="s">
        <v>94</v>
      </c>
      <c r="F12" s="134" t="s">
        <v>13</v>
      </c>
      <c r="G12" s="136">
        <v>5.0199999999999996</v>
      </c>
      <c r="H12" s="134" t="s">
        <v>13</v>
      </c>
      <c r="I12" s="127">
        <v>9.5299999999999994</v>
      </c>
      <c r="J12" s="7">
        <v>3.75</v>
      </c>
      <c r="K12" s="8">
        <v>19.98</v>
      </c>
      <c r="L12" s="58">
        <f t="shared" si="0"/>
        <v>0.15802781289506954</v>
      </c>
      <c r="M12">
        <f t="shared" si="1"/>
        <v>23.73</v>
      </c>
      <c r="N12">
        <v>45.3</v>
      </c>
    </row>
    <row r="13" spans="2:14" x14ac:dyDescent="0.25">
      <c r="B13" s="145"/>
      <c r="C13" s="38">
        <v>7</v>
      </c>
      <c r="D13" s="78"/>
      <c r="E13" s="122" t="s">
        <v>95</v>
      </c>
      <c r="F13" s="114" t="s">
        <v>13</v>
      </c>
      <c r="G13" s="113">
        <v>4.0199999999999996</v>
      </c>
      <c r="H13" s="114" t="s">
        <v>13</v>
      </c>
      <c r="I13" s="100">
        <v>8.5</v>
      </c>
      <c r="J13" s="7">
        <v>3.75</v>
      </c>
      <c r="K13" s="8">
        <v>19.98</v>
      </c>
      <c r="L13" s="58">
        <f t="shared" si="0"/>
        <v>0.15802781289506954</v>
      </c>
      <c r="M13">
        <f t="shared" si="1"/>
        <v>23.73</v>
      </c>
      <c r="N13">
        <v>44.8</v>
      </c>
    </row>
    <row r="14" spans="2:14" x14ac:dyDescent="0.25">
      <c r="B14" s="145"/>
      <c r="C14" s="38">
        <v>8</v>
      </c>
      <c r="D14" s="123"/>
      <c r="E14" s="124" t="s">
        <v>96</v>
      </c>
      <c r="F14" s="114" t="s">
        <v>13</v>
      </c>
      <c r="G14" s="113">
        <v>4.0199999999999996</v>
      </c>
      <c r="H14" s="114" t="s">
        <v>13</v>
      </c>
      <c r="I14" s="117">
        <v>9.5299999999999994</v>
      </c>
      <c r="J14" s="7">
        <v>4.0199999999999996</v>
      </c>
      <c r="K14" s="8">
        <v>11.83</v>
      </c>
      <c r="L14" s="58">
        <f t="shared" si="0"/>
        <v>0.25362776025236589</v>
      </c>
      <c r="M14">
        <f t="shared" si="1"/>
        <v>15.85</v>
      </c>
      <c r="N14">
        <v>44.8</v>
      </c>
    </row>
    <row r="15" spans="2:14" x14ac:dyDescent="0.25">
      <c r="B15" s="145"/>
      <c r="C15" s="38">
        <v>9</v>
      </c>
      <c r="D15" s="79"/>
      <c r="E15" s="122" t="s">
        <v>97</v>
      </c>
      <c r="F15" s="136">
        <v>4.0199999999999996</v>
      </c>
      <c r="G15" s="130" t="s">
        <v>13</v>
      </c>
      <c r="H15" s="130" t="s">
        <v>13</v>
      </c>
      <c r="I15" s="132">
        <v>9.5299999999999994</v>
      </c>
      <c r="J15" s="7">
        <v>3.75</v>
      </c>
      <c r="K15" s="8">
        <v>19.98</v>
      </c>
      <c r="L15" s="58">
        <f t="shared" si="0"/>
        <v>0.15802781289506954</v>
      </c>
      <c r="M15">
        <f t="shared" si="1"/>
        <v>23.73</v>
      </c>
      <c r="N15">
        <v>52.4</v>
      </c>
    </row>
    <row r="16" spans="2:14" x14ac:dyDescent="0.25">
      <c r="B16" s="145"/>
      <c r="C16" s="38">
        <v>10</v>
      </c>
      <c r="D16" s="79"/>
      <c r="E16" s="122" t="s">
        <v>98</v>
      </c>
      <c r="F16" s="136">
        <v>4.0199999999999996</v>
      </c>
      <c r="G16" s="134" t="s">
        <v>13</v>
      </c>
      <c r="H16" s="115" t="s">
        <v>13</v>
      </c>
      <c r="I16" s="127">
        <v>9.5299999999999994</v>
      </c>
      <c r="J16" s="137">
        <v>4.0199999999999996</v>
      </c>
      <c r="K16" s="138">
        <v>11.83</v>
      </c>
      <c r="L16" s="58">
        <f t="shared" si="0"/>
        <v>0.25362776025236589</v>
      </c>
      <c r="M16">
        <f t="shared" si="1"/>
        <v>15.85</v>
      </c>
      <c r="N16" s="98">
        <v>64.599999999999994</v>
      </c>
    </row>
    <row r="17" spans="2:15" x14ac:dyDescent="0.25">
      <c r="B17" s="145"/>
      <c r="C17" s="38">
        <v>11</v>
      </c>
      <c r="D17" s="79"/>
      <c r="E17" s="122" t="s">
        <v>99</v>
      </c>
      <c r="F17" s="136">
        <v>4.0199999999999996</v>
      </c>
      <c r="G17" s="134" t="s">
        <v>13</v>
      </c>
      <c r="H17" s="134" t="s">
        <v>13</v>
      </c>
      <c r="I17" s="127">
        <v>9.5299999999999994</v>
      </c>
      <c r="J17" s="7">
        <v>3.75</v>
      </c>
      <c r="K17" s="8">
        <v>19.98</v>
      </c>
      <c r="L17" s="58">
        <f t="shared" si="0"/>
        <v>0.15802781289506954</v>
      </c>
      <c r="M17">
        <f t="shared" si="1"/>
        <v>23.73</v>
      </c>
      <c r="N17" s="98">
        <v>56.4</v>
      </c>
    </row>
    <row r="18" spans="2:15" x14ac:dyDescent="0.25">
      <c r="B18" s="145"/>
      <c r="C18" s="38">
        <v>12</v>
      </c>
      <c r="D18" s="79"/>
      <c r="E18" s="122" t="s">
        <v>100</v>
      </c>
      <c r="F18" s="136">
        <v>4.0199999999999996</v>
      </c>
      <c r="G18" s="134" t="s">
        <v>13</v>
      </c>
      <c r="H18" s="114" t="s">
        <v>13</v>
      </c>
      <c r="I18" s="100">
        <v>8.5</v>
      </c>
      <c r="J18" s="7">
        <v>3.75</v>
      </c>
      <c r="K18" s="8">
        <v>19.98</v>
      </c>
      <c r="L18" s="58">
        <f t="shared" si="0"/>
        <v>0.15802781289506954</v>
      </c>
      <c r="M18">
        <f t="shared" si="1"/>
        <v>23.73</v>
      </c>
      <c r="N18" s="98">
        <v>56.4</v>
      </c>
    </row>
    <row r="19" spans="2:15" x14ac:dyDescent="0.25">
      <c r="B19" s="145"/>
      <c r="C19" s="38">
        <v>13</v>
      </c>
      <c r="D19" s="79"/>
      <c r="E19" s="122" t="s">
        <v>101</v>
      </c>
      <c r="F19" s="136">
        <v>4.0199999999999996</v>
      </c>
      <c r="G19" s="134" t="s">
        <v>13</v>
      </c>
      <c r="H19" s="115" t="s">
        <v>13</v>
      </c>
      <c r="I19" s="127">
        <v>9.5299999999999994</v>
      </c>
      <c r="J19" s="137">
        <v>4.0199999999999996</v>
      </c>
      <c r="K19" s="138">
        <v>11.83</v>
      </c>
      <c r="L19" s="58">
        <f t="shared" si="0"/>
        <v>0.25362776025236589</v>
      </c>
      <c r="M19">
        <f t="shared" si="1"/>
        <v>15.85</v>
      </c>
      <c r="N19">
        <v>56.4</v>
      </c>
    </row>
    <row r="20" spans="2:15" x14ac:dyDescent="0.25">
      <c r="B20" s="145"/>
      <c r="C20" s="38">
        <v>14</v>
      </c>
      <c r="D20" s="79"/>
      <c r="E20" s="122" t="s">
        <v>102</v>
      </c>
      <c r="F20" s="136">
        <v>4.0199999999999996</v>
      </c>
      <c r="G20" s="134" t="s">
        <v>13</v>
      </c>
      <c r="H20" s="134" t="s">
        <v>13</v>
      </c>
      <c r="I20" s="127">
        <v>9.5299999999999994</v>
      </c>
      <c r="J20" s="7">
        <v>3.75</v>
      </c>
      <c r="K20" s="8">
        <v>19.98</v>
      </c>
      <c r="L20" s="58">
        <f t="shared" si="0"/>
        <v>0.15802781289506954</v>
      </c>
      <c r="M20">
        <f t="shared" si="1"/>
        <v>23.73</v>
      </c>
      <c r="N20">
        <v>48.43</v>
      </c>
    </row>
    <row r="21" spans="2:15" x14ac:dyDescent="0.25">
      <c r="B21" s="145"/>
      <c r="C21" s="38">
        <v>15</v>
      </c>
      <c r="D21" s="79"/>
      <c r="E21" s="122" t="s">
        <v>103</v>
      </c>
      <c r="F21" s="136">
        <v>3.2</v>
      </c>
      <c r="G21" s="107" t="s">
        <v>13</v>
      </c>
      <c r="H21" s="107" t="s">
        <v>13</v>
      </c>
      <c r="I21" s="109">
        <v>9.1</v>
      </c>
      <c r="J21" s="7">
        <v>3.2</v>
      </c>
      <c r="K21" s="8">
        <v>9.1</v>
      </c>
      <c r="L21" s="58">
        <f t="shared" si="0"/>
        <v>0.26016260162601623</v>
      </c>
      <c r="M21">
        <f t="shared" si="1"/>
        <v>12.3</v>
      </c>
    </row>
    <row r="22" spans="2:15" x14ac:dyDescent="0.25">
      <c r="B22" s="145"/>
      <c r="C22" s="38">
        <v>16</v>
      </c>
      <c r="D22" s="123"/>
      <c r="E22" s="120" t="s">
        <v>104</v>
      </c>
      <c r="F22" s="136">
        <v>3.2</v>
      </c>
      <c r="G22" s="107" t="s">
        <v>13</v>
      </c>
      <c r="H22" s="107" t="s">
        <v>13</v>
      </c>
      <c r="I22" s="109">
        <v>9.1</v>
      </c>
      <c r="J22" s="7">
        <v>3.2</v>
      </c>
      <c r="K22" s="8">
        <v>19.600000000000001</v>
      </c>
      <c r="L22" s="58">
        <f t="shared" si="0"/>
        <v>0.14035087719298245</v>
      </c>
      <c r="M22">
        <f t="shared" si="1"/>
        <v>22.8</v>
      </c>
    </row>
    <row r="23" spans="2:15" ht="15.75" thickBot="1" x14ac:dyDescent="0.3">
      <c r="B23" s="145"/>
      <c r="C23" s="39"/>
      <c r="D23" s="80"/>
      <c r="E23" s="76"/>
      <c r="F23" s="20"/>
      <c r="G23" s="20"/>
      <c r="H23" s="20"/>
      <c r="I23" s="99"/>
      <c r="J23" s="23"/>
      <c r="K23" s="24"/>
      <c r="L23" s="58" t="e">
        <f t="shared" si="0"/>
        <v>#DIV/0!</v>
      </c>
      <c r="M23">
        <f t="shared" si="1"/>
        <v>0</v>
      </c>
      <c r="N23">
        <v>80</v>
      </c>
    </row>
    <row r="24" spans="2:15" x14ac:dyDescent="0.25">
      <c r="B24" s="146"/>
      <c r="C24" s="156" t="s">
        <v>35</v>
      </c>
      <c r="D24" s="157"/>
      <c r="E24" s="158"/>
      <c r="F24" s="103">
        <f>COUNTIF(F7:F23,"O ")</f>
        <v>0</v>
      </c>
      <c r="G24" s="103">
        <f>COUNTIF(G7:G23,"O ")</f>
        <v>0</v>
      </c>
      <c r="H24" s="103">
        <f>COUNTIF(H7:H23,"O ")</f>
        <v>0</v>
      </c>
      <c r="I24" s="41">
        <f>COUNTIF(I7:I23,"O ")</f>
        <v>0</v>
      </c>
      <c r="J24" s="50">
        <f>SUM(J7:J23)</f>
        <v>60.519999999999996</v>
      </c>
      <c r="K24" s="51">
        <f>SUM(K7:K23)</f>
        <v>261.24</v>
      </c>
      <c r="L24" s="58">
        <f t="shared" si="0"/>
        <v>0.18809050223769269</v>
      </c>
      <c r="M24" s="90"/>
      <c r="N24" s="90"/>
    </row>
    <row r="25" spans="2:15" ht="15.75" thickBot="1" x14ac:dyDescent="0.3">
      <c r="B25" s="147"/>
      <c r="C25" s="159"/>
      <c r="D25" s="160"/>
      <c r="E25" s="161"/>
      <c r="F25" s="104">
        <f>COUNTIF(F7:F23,"X")</f>
        <v>0</v>
      </c>
      <c r="G25" s="104">
        <f>COUNTIF(G7:G23,"X")</f>
        <v>0</v>
      </c>
      <c r="H25" s="104">
        <f>COUNTIF(H7:H23,"X")</f>
        <v>0</v>
      </c>
      <c r="I25" s="43">
        <f>COUNTIF(I7:I23,"X")</f>
        <v>0</v>
      </c>
      <c r="J25" s="46">
        <f>J24/(J24+K24)</f>
        <v>0.18809050223769269</v>
      </c>
      <c r="K25" s="47">
        <f>K24/(K24+J24)</f>
        <v>0.81190949776230736</v>
      </c>
      <c r="M25" s="90"/>
      <c r="N25" s="90"/>
    </row>
    <row r="26" spans="2:15" x14ac:dyDescent="0.25">
      <c r="B26" s="145" t="s">
        <v>85</v>
      </c>
      <c r="C26" s="33">
        <v>1</v>
      </c>
      <c r="D26" s="82"/>
      <c r="E26" s="121" t="s">
        <v>105</v>
      </c>
      <c r="F26" s="131">
        <v>4.0199999999999996</v>
      </c>
      <c r="G26" s="130" t="s">
        <v>13</v>
      </c>
      <c r="H26" s="102" t="s">
        <v>13</v>
      </c>
      <c r="I26" s="2">
        <v>9.5299999999999994</v>
      </c>
      <c r="J26" s="7">
        <v>4.0199999999999996</v>
      </c>
      <c r="K26" s="8">
        <v>11.83</v>
      </c>
      <c r="L26" s="58">
        <f t="shared" ref="L26:L28" si="2">J26/(J26+K26)</f>
        <v>0.25362776025236589</v>
      </c>
      <c r="M26">
        <f t="shared" ref="M26:M28" si="3">K26+J26</f>
        <v>15.85</v>
      </c>
      <c r="N26">
        <v>54</v>
      </c>
    </row>
    <row r="27" spans="2:15" x14ac:dyDescent="0.25">
      <c r="B27" s="145"/>
      <c r="C27" s="33">
        <v>2</v>
      </c>
      <c r="D27" s="82"/>
      <c r="E27" s="120" t="s">
        <v>106</v>
      </c>
      <c r="F27" s="131">
        <v>4.0199999999999996</v>
      </c>
      <c r="G27" s="102" t="s">
        <v>13</v>
      </c>
      <c r="H27" s="130" t="s">
        <v>13</v>
      </c>
      <c r="I27" s="2">
        <v>9.5</v>
      </c>
      <c r="J27" s="7">
        <v>9.75</v>
      </c>
      <c r="K27" s="8">
        <v>16.8</v>
      </c>
      <c r="L27" s="58">
        <f t="shared" si="2"/>
        <v>0.3672316384180791</v>
      </c>
      <c r="M27">
        <f t="shared" si="3"/>
        <v>26.55</v>
      </c>
      <c r="N27">
        <v>60</v>
      </c>
    </row>
    <row r="28" spans="2:15" ht="15.75" thickBot="1" x14ac:dyDescent="0.3">
      <c r="B28" s="145"/>
      <c r="C28" s="35"/>
      <c r="D28" s="83"/>
      <c r="E28" s="54"/>
      <c r="F28" s="25"/>
      <c r="G28" s="20"/>
      <c r="H28" s="20"/>
      <c r="I28" s="25"/>
      <c r="J28" s="23"/>
      <c r="K28" s="24"/>
      <c r="L28" s="58" t="e">
        <f t="shared" si="2"/>
        <v>#DIV/0!</v>
      </c>
    </row>
    <row r="29" spans="2:15" x14ac:dyDescent="0.25">
      <c r="B29" s="146"/>
      <c r="C29" s="152" t="s">
        <v>35</v>
      </c>
      <c r="D29" s="152"/>
      <c r="E29" s="152"/>
      <c r="F29" s="103">
        <f>COUNTIF(F26:F28,"O ")</f>
        <v>0</v>
      </c>
      <c r="G29" s="103">
        <f>COUNTIF(G26:G28,"O ")</f>
        <v>0</v>
      </c>
      <c r="H29" s="103">
        <f>COUNTIF(H26:H28,"O ")</f>
        <v>0</v>
      </c>
      <c r="I29" s="41">
        <f>COUNTIF(I26:I28,"O ")</f>
        <v>0</v>
      </c>
      <c r="J29" s="48">
        <f>SUM(J26:J28)</f>
        <v>13.77</v>
      </c>
      <c r="K29" s="49">
        <f>SUM(K28:K28)</f>
        <v>0</v>
      </c>
      <c r="M29" s="90"/>
      <c r="N29" s="90"/>
    </row>
    <row r="30" spans="2:15" ht="15.75" thickBot="1" x14ac:dyDescent="0.3">
      <c r="B30" s="147"/>
      <c r="C30" s="153"/>
      <c r="D30" s="153"/>
      <c r="E30" s="153"/>
      <c r="F30" s="104">
        <f>COUNTIF(F26:F28,"X")</f>
        <v>0</v>
      </c>
      <c r="G30" s="104">
        <f>COUNTIF(G26:G28,"X")</f>
        <v>0</v>
      </c>
      <c r="H30" s="104">
        <f>COUNTIF(H26:H28,"X")</f>
        <v>0</v>
      </c>
      <c r="I30" s="43">
        <f>COUNTIF(I26:I28,"X")</f>
        <v>0</v>
      </c>
      <c r="J30" s="44">
        <f>J29/(J29+K29)</f>
        <v>1</v>
      </c>
      <c r="K30" s="45">
        <f>K29/(K29+J29)</f>
        <v>0</v>
      </c>
      <c r="M30" s="90">
        <f>SUM(M7:M29)</f>
        <v>364.16</v>
      </c>
      <c r="N30" s="90">
        <f>SUM(N7:N29)</f>
        <v>880.52999999999986</v>
      </c>
      <c r="O30" s="190"/>
    </row>
  </sheetData>
  <mergeCells count="11">
    <mergeCell ref="B26:B30"/>
    <mergeCell ref="B7:B25"/>
    <mergeCell ref="C29:E30"/>
    <mergeCell ref="C24:E25"/>
    <mergeCell ref="K4:K6"/>
    <mergeCell ref="F5:H5"/>
    <mergeCell ref="B4:B6"/>
    <mergeCell ref="C4:C6"/>
    <mergeCell ref="D4:E6"/>
    <mergeCell ref="F4:I4"/>
    <mergeCell ref="J4:J6"/>
  </mergeCells>
  <conditionalFormatting sqref="L7:L24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{0FC1AF45-E23C-4B66-9600-48585EF8A99F}</x14:id>
        </ext>
      </extLst>
    </cfRule>
  </conditionalFormatting>
  <conditionalFormatting sqref="L26:L2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{BC12AF7B-DCCD-430C-85ED-5203C895AA6E}</x14:id>
        </ext>
      </extLst>
    </cfRule>
  </conditionalFormatting>
  <pageMargins left="0.7" right="0.7" top="0.75" bottom="0.75" header="0.3" footer="0.3"/>
  <pageSetup scale="50" orientation="landscape" horizontalDpi="4294967293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C1AF45-E23C-4B66-9600-48585EF8A9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L7:L24</xm:sqref>
        </x14:conditionalFormatting>
        <x14:conditionalFormatting xmlns:xm="http://schemas.microsoft.com/office/excel/2006/main">
          <x14:cfRule type="dataBar" id="{BC12AF7B-DCCD-430C-85ED-5203C895AA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L26:L28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9B5A-C9E6-4D9C-812D-E71954206EA3}">
  <dimension ref="B2:O53"/>
  <sheetViews>
    <sheetView topLeftCell="A14" zoomScale="71" zoomScaleNormal="71" workbookViewId="0">
      <selection activeCell="R39" sqref="R39"/>
    </sheetView>
  </sheetViews>
  <sheetFormatPr defaultRowHeight="15" x14ac:dyDescent="0.25"/>
  <cols>
    <col min="1" max="1" width="3.28515625" customWidth="1"/>
    <col min="2" max="2" width="13.140625" customWidth="1"/>
    <col min="3" max="4" width="5.140625" style="1" customWidth="1"/>
    <col min="5" max="5" width="15.140625" style="1" customWidth="1"/>
    <col min="6" max="9" width="13.42578125" style="1" customWidth="1"/>
    <col min="10" max="10" width="12.85546875" customWidth="1"/>
    <col min="11" max="11" width="18.28515625" customWidth="1"/>
    <col min="12" max="12" width="26.42578125" customWidth="1"/>
  </cols>
  <sheetData>
    <row r="2" spans="2:14" ht="25.5" x14ac:dyDescent="0.35">
      <c r="B2" s="27" t="s">
        <v>83</v>
      </c>
    </row>
    <row r="3" spans="2:14" ht="15.75" thickBot="1" x14ac:dyDescent="0.3">
      <c r="B3" s="26"/>
    </row>
    <row r="4" spans="2:14" x14ac:dyDescent="0.25">
      <c r="B4" s="163" t="s">
        <v>38</v>
      </c>
      <c r="C4" s="166" t="s">
        <v>0</v>
      </c>
      <c r="D4" s="178" t="s">
        <v>1</v>
      </c>
      <c r="E4" s="179"/>
      <c r="F4" s="169"/>
      <c r="G4" s="169"/>
      <c r="H4" s="169"/>
      <c r="I4" s="170"/>
      <c r="J4" s="184" t="s">
        <v>4</v>
      </c>
      <c r="K4" s="174" t="s">
        <v>81</v>
      </c>
    </row>
    <row r="5" spans="2:14" x14ac:dyDescent="0.25">
      <c r="B5" s="164"/>
      <c r="C5" s="167"/>
      <c r="D5" s="180"/>
      <c r="E5" s="181"/>
      <c r="F5" s="177" t="s">
        <v>4</v>
      </c>
      <c r="G5" s="177"/>
      <c r="H5" s="177"/>
      <c r="I5" s="9" t="s">
        <v>5</v>
      </c>
      <c r="J5" s="185"/>
      <c r="K5" s="175"/>
    </row>
    <row r="6" spans="2:14" ht="29.25" customHeight="1" thickBot="1" x14ac:dyDescent="0.3">
      <c r="B6" s="165"/>
      <c r="C6" s="168"/>
      <c r="D6" s="182"/>
      <c r="E6" s="183"/>
      <c r="F6" s="56" t="s">
        <v>8</v>
      </c>
      <c r="G6" s="55" t="s">
        <v>43</v>
      </c>
      <c r="H6" s="56" t="s">
        <v>9</v>
      </c>
      <c r="I6" s="18" t="s">
        <v>44</v>
      </c>
      <c r="J6" s="186"/>
      <c r="K6" s="176"/>
      <c r="L6" s="57" t="s">
        <v>75</v>
      </c>
      <c r="M6" t="s">
        <v>78</v>
      </c>
      <c r="N6" s="89" t="s">
        <v>79</v>
      </c>
    </row>
    <row r="7" spans="2:14" x14ac:dyDescent="0.25">
      <c r="B7" s="144" t="s">
        <v>86</v>
      </c>
      <c r="C7" s="37">
        <v>1</v>
      </c>
      <c r="D7" s="77"/>
      <c r="E7" s="121" t="s">
        <v>107</v>
      </c>
      <c r="F7" s="14">
        <v>4.0199999999999996</v>
      </c>
      <c r="G7" s="13" t="s">
        <v>13</v>
      </c>
      <c r="H7" s="13" t="s">
        <v>13</v>
      </c>
      <c r="I7" s="15">
        <v>9.5299999999999994</v>
      </c>
      <c r="J7" s="16">
        <v>4.0199999999999996</v>
      </c>
      <c r="K7" s="17">
        <v>11.83</v>
      </c>
      <c r="L7" s="58">
        <f t="shared" ref="L7:L30" si="0">J7/(J7+K7)</f>
        <v>0.25362776025236589</v>
      </c>
      <c r="M7">
        <f>J7+K7</f>
        <v>15.85</v>
      </c>
      <c r="N7">
        <v>51.9</v>
      </c>
    </row>
    <row r="8" spans="2:14" x14ac:dyDescent="0.25">
      <c r="B8" s="145"/>
      <c r="C8" s="38">
        <v>2</v>
      </c>
      <c r="D8" s="78"/>
      <c r="E8" s="124" t="s">
        <v>108</v>
      </c>
      <c r="F8" s="136">
        <v>5.0199999999999996</v>
      </c>
      <c r="G8" s="134" t="s">
        <v>13</v>
      </c>
      <c r="H8" s="134" t="s">
        <v>13</v>
      </c>
      <c r="I8" s="127">
        <v>10.53</v>
      </c>
      <c r="J8" s="137">
        <v>3.75</v>
      </c>
      <c r="K8" s="8">
        <v>19.98</v>
      </c>
      <c r="L8" s="58">
        <f t="shared" si="0"/>
        <v>0.15802781289506954</v>
      </c>
      <c r="M8">
        <f t="shared" ref="M8:M29" si="1">J8+K8</f>
        <v>23.73</v>
      </c>
      <c r="N8">
        <v>59</v>
      </c>
    </row>
    <row r="9" spans="2:14" x14ac:dyDescent="0.25">
      <c r="B9" s="145"/>
      <c r="C9" s="38">
        <v>3</v>
      </c>
      <c r="D9" s="78"/>
      <c r="E9" s="124" t="s">
        <v>109</v>
      </c>
      <c r="F9" s="131">
        <v>4.0199999999999996</v>
      </c>
      <c r="G9" s="130" t="s">
        <v>13</v>
      </c>
      <c r="H9" s="107" t="s">
        <v>13</v>
      </c>
      <c r="I9" s="100">
        <v>8.5</v>
      </c>
      <c r="J9" s="7">
        <v>3.75</v>
      </c>
      <c r="K9" s="8">
        <v>19.98</v>
      </c>
      <c r="L9" s="58">
        <f t="shared" si="0"/>
        <v>0.15802781289506954</v>
      </c>
      <c r="M9">
        <f t="shared" si="1"/>
        <v>23.73</v>
      </c>
      <c r="N9">
        <v>37.4</v>
      </c>
    </row>
    <row r="10" spans="2:14" x14ac:dyDescent="0.25">
      <c r="B10" s="145"/>
      <c r="C10" s="38">
        <v>4</v>
      </c>
      <c r="D10" s="78"/>
      <c r="E10" s="124" t="s">
        <v>110</v>
      </c>
      <c r="F10" s="131">
        <v>4.0199999999999996</v>
      </c>
      <c r="G10" s="130" t="s">
        <v>13</v>
      </c>
      <c r="H10" s="107" t="s">
        <v>13</v>
      </c>
      <c r="I10" s="126">
        <v>9.5</v>
      </c>
      <c r="J10" s="7">
        <v>3.75</v>
      </c>
      <c r="K10" s="8">
        <v>19.98</v>
      </c>
      <c r="L10" s="58">
        <f t="shared" si="0"/>
        <v>0.15802781289506954</v>
      </c>
      <c r="M10">
        <f t="shared" si="1"/>
        <v>23.73</v>
      </c>
      <c r="N10">
        <v>61.6</v>
      </c>
    </row>
    <row r="11" spans="2:14" x14ac:dyDescent="0.25">
      <c r="B11" s="145"/>
      <c r="C11" s="38">
        <v>5</v>
      </c>
      <c r="D11" s="78"/>
      <c r="E11" s="124" t="s">
        <v>111</v>
      </c>
      <c r="F11" s="131">
        <v>4.0199999999999996</v>
      </c>
      <c r="G11" s="130" t="s">
        <v>13</v>
      </c>
      <c r="H11" s="130" t="s">
        <v>13</v>
      </c>
      <c r="I11" s="126">
        <v>10.5</v>
      </c>
      <c r="J11" s="7">
        <v>3.75</v>
      </c>
      <c r="K11" s="8">
        <v>16.98</v>
      </c>
      <c r="L11" s="58">
        <f t="shared" si="0"/>
        <v>0.18089725036179449</v>
      </c>
      <c r="M11">
        <f t="shared" si="1"/>
        <v>20.73</v>
      </c>
      <c r="N11">
        <v>61.6</v>
      </c>
    </row>
    <row r="12" spans="2:14" x14ac:dyDescent="0.25">
      <c r="B12" s="145"/>
      <c r="C12" s="38">
        <v>6</v>
      </c>
      <c r="D12" s="78"/>
      <c r="E12" s="124" t="s">
        <v>112</v>
      </c>
      <c r="F12" s="131">
        <v>4.0199999999999996</v>
      </c>
      <c r="G12" s="130" t="s">
        <v>13</v>
      </c>
      <c r="H12" s="107" t="s">
        <v>13</v>
      </c>
      <c r="I12" s="100">
        <v>8.5</v>
      </c>
      <c r="J12" s="7">
        <v>3.75</v>
      </c>
      <c r="K12" s="8">
        <v>16.98</v>
      </c>
      <c r="L12" s="58">
        <f t="shared" si="0"/>
        <v>0.18089725036179449</v>
      </c>
      <c r="M12">
        <f t="shared" si="1"/>
        <v>20.73</v>
      </c>
      <c r="N12">
        <v>51.6</v>
      </c>
    </row>
    <row r="13" spans="2:14" x14ac:dyDescent="0.25">
      <c r="B13" s="145"/>
      <c r="C13" s="38">
        <v>7</v>
      </c>
      <c r="D13" s="78"/>
      <c r="E13" s="124" t="s">
        <v>113</v>
      </c>
      <c r="F13" s="131">
        <v>4.0199999999999996</v>
      </c>
      <c r="G13" s="130" t="s">
        <v>13</v>
      </c>
      <c r="H13" s="107" t="s">
        <v>13</v>
      </c>
      <c r="I13" s="126">
        <v>9.5</v>
      </c>
      <c r="J13" s="7">
        <v>3.75</v>
      </c>
      <c r="K13" s="8">
        <v>16.98</v>
      </c>
      <c r="L13" s="58">
        <f t="shared" si="0"/>
        <v>0.18089725036179449</v>
      </c>
      <c r="M13">
        <f t="shared" si="1"/>
        <v>20.73</v>
      </c>
      <c r="N13">
        <v>51.6</v>
      </c>
    </row>
    <row r="14" spans="2:14" x14ac:dyDescent="0.25">
      <c r="B14" s="145"/>
      <c r="C14" s="38">
        <v>8</v>
      </c>
      <c r="D14" s="79"/>
      <c r="E14" s="124" t="s">
        <v>114</v>
      </c>
      <c r="F14" s="112">
        <v>3.2</v>
      </c>
      <c r="G14" s="111" t="s">
        <v>13</v>
      </c>
      <c r="H14" s="111" t="s">
        <v>13</v>
      </c>
      <c r="I14" s="127">
        <v>9.1</v>
      </c>
      <c r="J14" s="7">
        <v>3.2</v>
      </c>
      <c r="K14" s="8">
        <v>9.1</v>
      </c>
      <c r="L14" s="58">
        <f t="shared" si="0"/>
        <v>0.26016260162601623</v>
      </c>
      <c r="M14">
        <f t="shared" si="1"/>
        <v>12.3</v>
      </c>
      <c r="N14">
        <v>48.9</v>
      </c>
    </row>
    <row r="15" spans="2:14" x14ac:dyDescent="0.25">
      <c r="B15" s="145"/>
      <c r="C15" s="38">
        <v>9</v>
      </c>
      <c r="D15" s="79"/>
      <c r="E15" s="124" t="s">
        <v>115</v>
      </c>
      <c r="F15" s="110">
        <v>3.2</v>
      </c>
      <c r="G15" s="107" t="s">
        <v>13</v>
      </c>
      <c r="H15" s="107" t="s">
        <v>13</v>
      </c>
      <c r="I15" s="109">
        <v>9.1</v>
      </c>
      <c r="J15" s="7">
        <v>3.2</v>
      </c>
      <c r="K15" s="8">
        <v>9.1</v>
      </c>
      <c r="L15" s="58">
        <f t="shared" si="0"/>
        <v>0.26016260162601623</v>
      </c>
      <c r="M15">
        <f t="shared" si="1"/>
        <v>12.3</v>
      </c>
      <c r="N15">
        <v>36.1</v>
      </c>
    </row>
    <row r="16" spans="2:14" x14ac:dyDescent="0.25">
      <c r="B16" s="145"/>
      <c r="C16" s="38">
        <v>10</v>
      </c>
      <c r="D16" s="79"/>
      <c r="E16" s="124" t="s">
        <v>116</v>
      </c>
      <c r="F16" s="133">
        <v>4.2</v>
      </c>
      <c r="G16" s="130" t="s">
        <v>13</v>
      </c>
      <c r="H16" s="130" t="s">
        <v>13</v>
      </c>
      <c r="I16" s="132">
        <v>10.1</v>
      </c>
      <c r="J16" s="7">
        <v>3.2</v>
      </c>
      <c r="K16" s="8">
        <v>14.2</v>
      </c>
      <c r="L16" s="58">
        <f t="shared" si="0"/>
        <v>0.18390804597701152</v>
      </c>
      <c r="M16">
        <f t="shared" si="1"/>
        <v>17.399999999999999</v>
      </c>
      <c r="N16" s="98">
        <v>40</v>
      </c>
    </row>
    <row r="17" spans="2:14" x14ac:dyDescent="0.25">
      <c r="B17" s="145"/>
      <c r="C17" s="38">
        <v>11</v>
      </c>
      <c r="D17" s="79"/>
      <c r="E17" s="124" t="s">
        <v>117</v>
      </c>
      <c r="F17" s="131">
        <v>4.0199999999999996</v>
      </c>
      <c r="G17" s="130" t="s">
        <v>13</v>
      </c>
      <c r="H17" s="107" t="s">
        <v>13</v>
      </c>
      <c r="I17" s="100">
        <v>8.5</v>
      </c>
      <c r="J17" s="7">
        <v>9.1</v>
      </c>
      <c r="K17" s="8">
        <v>14.2</v>
      </c>
      <c r="L17" s="58">
        <f t="shared" si="0"/>
        <v>0.3905579399141631</v>
      </c>
      <c r="M17">
        <f t="shared" si="1"/>
        <v>23.299999999999997</v>
      </c>
      <c r="N17" s="98">
        <v>40</v>
      </c>
    </row>
    <row r="18" spans="2:14" x14ac:dyDescent="0.25">
      <c r="B18" s="145"/>
      <c r="C18" s="38">
        <v>12</v>
      </c>
      <c r="D18" s="79"/>
      <c r="E18" s="124" t="s">
        <v>118</v>
      </c>
      <c r="F18" s="131">
        <v>4.0199999999999996</v>
      </c>
      <c r="G18" s="130" t="s">
        <v>13</v>
      </c>
      <c r="H18" s="107" t="s">
        <v>13</v>
      </c>
      <c r="I18" s="126">
        <v>9.5</v>
      </c>
      <c r="J18" s="7">
        <v>9.1</v>
      </c>
      <c r="K18" s="8">
        <v>14.2</v>
      </c>
      <c r="L18" s="58">
        <f t="shared" si="0"/>
        <v>0.3905579399141631</v>
      </c>
      <c r="M18">
        <f t="shared" si="1"/>
        <v>23.299999999999997</v>
      </c>
      <c r="N18" s="98">
        <v>40.4</v>
      </c>
    </row>
    <row r="19" spans="2:14" x14ac:dyDescent="0.25">
      <c r="B19" s="145"/>
      <c r="C19" s="38">
        <v>13</v>
      </c>
      <c r="D19" s="79"/>
      <c r="E19" s="124" t="s">
        <v>119</v>
      </c>
      <c r="F19" s="112">
        <v>3.2</v>
      </c>
      <c r="G19" s="111" t="s">
        <v>13</v>
      </c>
      <c r="H19" s="111" t="s">
        <v>13</v>
      </c>
      <c r="I19" s="127">
        <v>9.1</v>
      </c>
      <c r="J19" s="7">
        <v>9.1</v>
      </c>
      <c r="K19" s="8">
        <v>12.8</v>
      </c>
      <c r="L19" s="58">
        <f t="shared" si="0"/>
        <v>0.41552511415525117</v>
      </c>
      <c r="M19">
        <f t="shared" si="1"/>
        <v>21.9</v>
      </c>
      <c r="N19">
        <v>48.43</v>
      </c>
    </row>
    <row r="20" spans="2:14" x14ac:dyDescent="0.25">
      <c r="B20" s="145"/>
      <c r="C20" s="38">
        <v>14</v>
      </c>
      <c r="D20" s="79"/>
      <c r="E20" s="124" t="s">
        <v>120</v>
      </c>
      <c r="F20" s="110">
        <v>3.2</v>
      </c>
      <c r="G20" s="107" t="s">
        <v>13</v>
      </c>
      <c r="H20" s="107" t="s">
        <v>13</v>
      </c>
      <c r="I20" s="109">
        <v>9.1</v>
      </c>
      <c r="J20" s="7">
        <v>9.1</v>
      </c>
      <c r="K20" s="8">
        <v>12.8</v>
      </c>
      <c r="L20" s="58">
        <f t="shared" si="0"/>
        <v>0.41552511415525117</v>
      </c>
      <c r="M20">
        <f t="shared" si="1"/>
        <v>21.9</v>
      </c>
      <c r="N20">
        <v>36.6</v>
      </c>
    </row>
    <row r="21" spans="2:14" x14ac:dyDescent="0.25">
      <c r="B21" s="145"/>
      <c r="C21" s="38">
        <v>15</v>
      </c>
      <c r="D21" s="79"/>
      <c r="E21" s="124" t="s">
        <v>121</v>
      </c>
      <c r="F21" s="101">
        <v>3.2</v>
      </c>
      <c r="G21" s="102" t="s">
        <v>13</v>
      </c>
      <c r="H21" s="102" t="s">
        <v>13</v>
      </c>
      <c r="I21" s="105">
        <v>9.1</v>
      </c>
      <c r="J21" s="7">
        <v>3.2</v>
      </c>
      <c r="K21" s="8">
        <v>9.1</v>
      </c>
      <c r="L21" s="58">
        <f t="shared" si="0"/>
        <v>0.26016260162601623</v>
      </c>
      <c r="M21">
        <f t="shared" si="1"/>
        <v>12.3</v>
      </c>
      <c r="N21">
        <v>36.6</v>
      </c>
    </row>
    <row r="22" spans="2:14" x14ac:dyDescent="0.25">
      <c r="B22" s="145"/>
      <c r="C22" s="38">
        <v>16</v>
      </c>
      <c r="D22" s="79"/>
      <c r="E22" s="124" t="s">
        <v>122</v>
      </c>
      <c r="F22" s="101">
        <v>3.2</v>
      </c>
      <c r="G22" s="102" t="s">
        <v>13</v>
      </c>
      <c r="H22" s="102" t="s">
        <v>13</v>
      </c>
      <c r="I22" s="105">
        <v>9.1</v>
      </c>
      <c r="J22" s="7">
        <v>3.2</v>
      </c>
      <c r="K22" s="8">
        <v>19.600000000000001</v>
      </c>
      <c r="L22" s="58">
        <f t="shared" si="0"/>
        <v>0.14035087719298245</v>
      </c>
      <c r="M22">
        <f t="shared" si="1"/>
        <v>22.8</v>
      </c>
      <c r="N22">
        <v>42.2</v>
      </c>
    </row>
    <row r="23" spans="2:14" x14ac:dyDescent="0.25">
      <c r="B23" s="145"/>
      <c r="C23" s="38">
        <v>17</v>
      </c>
      <c r="D23" s="78"/>
      <c r="E23" s="124" t="s">
        <v>123</v>
      </c>
      <c r="F23" s="133">
        <v>3.2</v>
      </c>
      <c r="G23" s="102" t="s">
        <v>13</v>
      </c>
      <c r="H23" s="130" t="s">
        <v>13</v>
      </c>
      <c r="I23" s="105">
        <v>9.1</v>
      </c>
      <c r="J23" s="7">
        <v>3.75</v>
      </c>
      <c r="K23" s="8">
        <v>16.649999999999999</v>
      </c>
      <c r="L23" s="58">
        <f t="shared" si="0"/>
        <v>0.18382352941176472</v>
      </c>
      <c r="M23">
        <f t="shared" si="1"/>
        <v>20.399999999999999</v>
      </c>
      <c r="N23">
        <v>42.2</v>
      </c>
    </row>
    <row r="24" spans="2:14" x14ac:dyDescent="0.25">
      <c r="B24" s="145"/>
      <c r="C24" s="38">
        <v>18</v>
      </c>
      <c r="D24" s="78"/>
      <c r="E24" s="124" t="s">
        <v>124</v>
      </c>
      <c r="F24" s="110">
        <v>3.2</v>
      </c>
      <c r="G24" s="107" t="s">
        <v>13</v>
      </c>
      <c r="H24" s="107" t="s">
        <v>13</v>
      </c>
      <c r="I24" s="109">
        <v>9.1</v>
      </c>
      <c r="J24" s="7">
        <v>3.2</v>
      </c>
      <c r="K24" s="8">
        <v>9.1</v>
      </c>
      <c r="L24" s="58">
        <f t="shared" si="0"/>
        <v>0.26016260162601623</v>
      </c>
      <c r="M24">
        <f t="shared" si="1"/>
        <v>12.3</v>
      </c>
      <c r="N24">
        <v>52.4</v>
      </c>
    </row>
    <row r="25" spans="2:14" x14ac:dyDescent="0.25">
      <c r="B25" s="145"/>
      <c r="C25" s="38">
        <v>19</v>
      </c>
      <c r="D25" s="78"/>
      <c r="E25" s="124" t="s">
        <v>125</v>
      </c>
      <c r="F25" s="110">
        <v>3.2</v>
      </c>
      <c r="G25" s="107" t="s">
        <v>13</v>
      </c>
      <c r="H25" s="107" t="s">
        <v>13</v>
      </c>
      <c r="I25" s="109">
        <v>9.1</v>
      </c>
      <c r="J25" s="7">
        <v>3.2</v>
      </c>
      <c r="K25" s="8">
        <v>9.1</v>
      </c>
      <c r="L25" s="58">
        <f t="shared" si="0"/>
        <v>0.26016260162601623</v>
      </c>
      <c r="M25">
        <f t="shared" si="1"/>
        <v>12.3</v>
      </c>
      <c r="N25">
        <v>32</v>
      </c>
    </row>
    <row r="26" spans="2:14" x14ac:dyDescent="0.25">
      <c r="B26" s="145"/>
      <c r="C26" s="38">
        <v>20</v>
      </c>
      <c r="D26" s="78"/>
      <c r="E26" s="124" t="s">
        <v>126</v>
      </c>
      <c r="F26" s="110">
        <v>3.2</v>
      </c>
      <c r="G26" s="107" t="s">
        <v>13</v>
      </c>
      <c r="H26" s="107" t="s">
        <v>13</v>
      </c>
      <c r="I26" s="109">
        <v>9.1</v>
      </c>
      <c r="J26" s="7">
        <v>3.2</v>
      </c>
      <c r="K26" s="8">
        <v>9.1</v>
      </c>
      <c r="L26" s="58">
        <f t="shared" ref="L26:L27" si="2">J26/(J26+K26)</f>
        <v>0.26016260162601623</v>
      </c>
      <c r="M26">
        <f t="shared" ref="M26:M27" si="3">J26+K26</f>
        <v>12.3</v>
      </c>
      <c r="N26">
        <v>45.3</v>
      </c>
    </row>
    <row r="27" spans="2:14" x14ac:dyDescent="0.25">
      <c r="B27" s="145"/>
      <c r="C27" s="38">
        <v>21</v>
      </c>
      <c r="D27" s="78"/>
      <c r="E27" s="124" t="s">
        <v>127</v>
      </c>
      <c r="F27" s="110">
        <v>3.2</v>
      </c>
      <c r="G27" s="107" t="s">
        <v>13</v>
      </c>
      <c r="H27" s="107" t="s">
        <v>13</v>
      </c>
      <c r="I27" s="109">
        <v>9.1</v>
      </c>
      <c r="J27" s="7">
        <v>3.2</v>
      </c>
      <c r="K27" s="8">
        <v>9.1</v>
      </c>
      <c r="L27" s="58">
        <f t="shared" si="2"/>
        <v>0.26016260162601623</v>
      </c>
      <c r="M27">
        <f t="shared" si="3"/>
        <v>12.3</v>
      </c>
      <c r="N27">
        <v>37.4</v>
      </c>
    </row>
    <row r="28" spans="2:14" x14ac:dyDescent="0.25">
      <c r="B28" s="145"/>
      <c r="C28" s="38">
        <v>22</v>
      </c>
      <c r="D28" s="79"/>
      <c r="E28" s="124" t="s">
        <v>128</v>
      </c>
      <c r="F28" s="131">
        <v>4.0199999999999996</v>
      </c>
      <c r="G28" s="130" t="s">
        <v>13</v>
      </c>
      <c r="H28" s="102" t="s">
        <v>13</v>
      </c>
      <c r="I28" s="100">
        <v>8.5</v>
      </c>
      <c r="J28" s="7">
        <v>4.0199999999999996</v>
      </c>
      <c r="K28" s="8">
        <v>8.5</v>
      </c>
      <c r="L28" s="58">
        <f t="shared" si="0"/>
        <v>0.32108626198083062</v>
      </c>
      <c r="M28">
        <f t="shared" si="1"/>
        <v>12.52</v>
      </c>
      <c r="N28">
        <v>39.200000000000003</v>
      </c>
    </row>
    <row r="29" spans="2:14" ht="15.75" thickBot="1" x14ac:dyDescent="0.3">
      <c r="B29" s="145"/>
      <c r="C29" s="39">
        <v>23</v>
      </c>
      <c r="D29" s="80"/>
      <c r="E29" s="125" t="s">
        <v>129</v>
      </c>
      <c r="F29" s="21">
        <v>4.0199999999999996</v>
      </c>
      <c r="G29" s="130" t="s">
        <v>13</v>
      </c>
      <c r="H29" s="20" t="s">
        <v>13</v>
      </c>
      <c r="I29" s="99">
        <v>9.5</v>
      </c>
      <c r="J29" s="23">
        <v>4.0199999999999996</v>
      </c>
      <c r="K29" s="24">
        <v>35.1</v>
      </c>
      <c r="L29" s="58">
        <f t="shared" si="0"/>
        <v>0.10276073619631899</v>
      </c>
      <c r="M29">
        <f t="shared" si="1"/>
        <v>39.120000000000005</v>
      </c>
      <c r="N29">
        <v>39.200000000000003</v>
      </c>
    </row>
    <row r="30" spans="2:14" x14ac:dyDescent="0.25">
      <c r="B30" s="146"/>
      <c r="C30" s="156" t="s">
        <v>35</v>
      </c>
      <c r="D30" s="157"/>
      <c r="E30" s="158"/>
      <c r="F30" s="103">
        <f t="shared" ref="F30:I30" si="4">COUNTIF(F7:F29,"O ")</f>
        <v>0</v>
      </c>
      <c r="G30" s="103">
        <f t="shared" si="4"/>
        <v>0</v>
      </c>
      <c r="H30" s="103">
        <f t="shared" si="4"/>
        <v>0</v>
      </c>
      <c r="I30" s="41">
        <f t="shared" si="4"/>
        <v>0</v>
      </c>
      <c r="J30" s="50">
        <f>SUM(J7:J29)</f>
        <v>103.51000000000002</v>
      </c>
      <c r="K30" s="51">
        <f>SUM(K7:K29)</f>
        <v>334.46000000000009</v>
      </c>
      <c r="L30" s="58"/>
      <c r="M30" s="90"/>
      <c r="N30" s="90"/>
    </row>
    <row r="31" spans="2:14" ht="15.75" thickBot="1" x14ac:dyDescent="0.3">
      <c r="B31" s="147"/>
      <c r="C31" s="159"/>
      <c r="D31" s="160"/>
      <c r="E31" s="161"/>
      <c r="F31" s="104">
        <f t="shared" ref="F31:I31" si="5">COUNTIF(F7:F29,"X")</f>
        <v>0</v>
      </c>
      <c r="G31" s="104">
        <f t="shared" si="5"/>
        <v>0</v>
      </c>
      <c r="H31" s="104">
        <f t="shared" si="5"/>
        <v>0</v>
      </c>
      <c r="I31" s="43">
        <f t="shared" si="5"/>
        <v>0</v>
      </c>
      <c r="J31" s="46">
        <f>J30/(J30+K30)</f>
        <v>0.23634038861109205</v>
      </c>
      <c r="K31" s="47">
        <f>K30/(K30+J30)</f>
        <v>0.76365961138890792</v>
      </c>
      <c r="M31" s="90"/>
      <c r="N31" s="90"/>
    </row>
    <row r="32" spans="2:14" x14ac:dyDescent="0.25">
      <c r="B32" s="144" t="s">
        <v>87</v>
      </c>
      <c r="C32" s="31">
        <v>1</v>
      </c>
      <c r="D32" s="81"/>
      <c r="E32" s="121" t="s">
        <v>130</v>
      </c>
      <c r="F32" s="135">
        <v>4.0199999999999996</v>
      </c>
      <c r="G32" s="72" t="s">
        <v>13</v>
      </c>
      <c r="H32" s="72" t="s">
        <v>13</v>
      </c>
      <c r="I32" s="10">
        <v>9.5</v>
      </c>
      <c r="J32" s="16">
        <v>4.0199999999999996</v>
      </c>
      <c r="K32" s="17">
        <v>35.1</v>
      </c>
      <c r="L32" s="58">
        <f t="shared" ref="L32:L51" si="6">J32/(J32+K32)</f>
        <v>0.10276073619631899</v>
      </c>
      <c r="M32">
        <f>K32+J32</f>
        <v>39.120000000000005</v>
      </c>
      <c r="N32">
        <v>29.8</v>
      </c>
    </row>
    <row r="33" spans="2:14" x14ac:dyDescent="0.25">
      <c r="B33" s="145"/>
      <c r="C33" s="33">
        <v>2</v>
      </c>
      <c r="D33" s="82"/>
      <c r="E33" s="122" t="s">
        <v>131</v>
      </c>
      <c r="F33" s="2">
        <v>3.02</v>
      </c>
      <c r="G33" s="107" t="s">
        <v>13</v>
      </c>
      <c r="H33" s="107" t="s">
        <v>13</v>
      </c>
      <c r="I33" s="2">
        <v>8.5</v>
      </c>
      <c r="J33" s="7">
        <v>1.1000000000000001</v>
      </c>
      <c r="K33" s="8">
        <v>10.4</v>
      </c>
      <c r="L33" s="58">
        <f t="shared" si="6"/>
        <v>9.5652173913043481E-2</v>
      </c>
      <c r="M33">
        <f t="shared" ref="M33:M51" si="7">K33+J33</f>
        <v>11.5</v>
      </c>
      <c r="N33">
        <v>29.8</v>
      </c>
    </row>
    <row r="34" spans="2:14" x14ac:dyDescent="0.25">
      <c r="B34" s="145"/>
      <c r="C34" s="33">
        <v>3</v>
      </c>
      <c r="D34" s="82"/>
      <c r="E34" s="122" t="s">
        <v>132</v>
      </c>
      <c r="F34" s="131">
        <v>3.75</v>
      </c>
      <c r="G34" s="107" t="s">
        <v>13</v>
      </c>
      <c r="H34" s="130" t="s">
        <v>13</v>
      </c>
      <c r="I34" s="2">
        <v>8.5</v>
      </c>
      <c r="J34" s="7">
        <v>1.1000000000000001</v>
      </c>
      <c r="K34" s="8">
        <v>10.4</v>
      </c>
      <c r="L34" s="58">
        <f t="shared" si="6"/>
        <v>9.5652173913043481E-2</v>
      </c>
      <c r="M34">
        <f t="shared" si="7"/>
        <v>11.5</v>
      </c>
      <c r="N34">
        <v>35.9</v>
      </c>
    </row>
    <row r="35" spans="2:14" x14ac:dyDescent="0.25">
      <c r="B35" s="145"/>
      <c r="C35" s="33">
        <v>4</v>
      </c>
      <c r="D35" s="82"/>
      <c r="E35" s="122" t="s">
        <v>133</v>
      </c>
      <c r="F35" s="2">
        <v>3.02</v>
      </c>
      <c r="G35" s="107" t="s">
        <v>13</v>
      </c>
      <c r="H35" s="130" t="s">
        <v>13</v>
      </c>
      <c r="I35" s="2">
        <v>8.5</v>
      </c>
      <c r="J35" s="7">
        <v>3.02</v>
      </c>
      <c r="K35" s="8">
        <v>12.3</v>
      </c>
      <c r="L35" s="58">
        <f t="shared" si="6"/>
        <v>0.19712793733681461</v>
      </c>
      <c r="M35">
        <f t="shared" si="7"/>
        <v>15.32</v>
      </c>
      <c r="N35">
        <v>35.9</v>
      </c>
    </row>
    <row r="36" spans="2:14" x14ac:dyDescent="0.25">
      <c r="B36" s="145"/>
      <c r="C36" s="33">
        <v>5</v>
      </c>
      <c r="D36" s="82"/>
      <c r="E36" s="122" t="s">
        <v>134</v>
      </c>
      <c r="F36" s="131">
        <v>3.75</v>
      </c>
      <c r="G36" s="107" t="s">
        <v>13</v>
      </c>
      <c r="H36" s="130" t="s">
        <v>13</v>
      </c>
      <c r="I36" s="2">
        <v>8.5</v>
      </c>
      <c r="J36" s="7">
        <v>3.02</v>
      </c>
      <c r="K36" s="8">
        <v>12.3</v>
      </c>
      <c r="L36" s="58">
        <f t="shared" si="6"/>
        <v>0.19712793733681461</v>
      </c>
      <c r="M36">
        <f t="shared" si="7"/>
        <v>15.32</v>
      </c>
      <c r="N36">
        <v>40.4</v>
      </c>
    </row>
    <row r="37" spans="2:14" x14ac:dyDescent="0.25">
      <c r="B37" s="145"/>
      <c r="C37" s="33">
        <v>6</v>
      </c>
      <c r="D37" s="82"/>
      <c r="E37" s="122" t="s">
        <v>135</v>
      </c>
      <c r="F37" s="131">
        <v>4.0199999999999996</v>
      </c>
      <c r="G37" s="130" t="s">
        <v>13</v>
      </c>
      <c r="H37" s="130" t="s">
        <v>13</v>
      </c>
      <c r="I37" s="2">
        <v>9.5299999999999994</v>
      </c>
      <c r="J37" s="7">
        <v>4.0199999999999996</v>
      </c>
      <c r="K37" s="8">
        <v>11.83</v>
      </c>
      <c r="L37" s="58">
        <f t="shared" si="6"/>
        <v>0.25362776025236589</v>
      </c>
      <c r="M37">
        <f t="shared" si="7"/>
        <v>15.85</v>
      </c>
      <c r="N37">
        <v>40.4</v>
      </c>
    </row>
    <row r="38" spans="2:14" x14ac:dyDescent="0.25">
      <c r="B38" s="145"/>
      <c r="C38" s="33">
        <v>7</v>
      </c>
      <c r="D38" s="82"/>
      <c r="E38" s="122" t="s">
        <v>136</v>
      </c>
      <c r="F38" s="131">
        <v>3.75</v>
      </c>
      <c r="G38" s="130" t="s">
        <v>13</v>
      </c>
      <c r="H38" s="130" t="s">
        <v>13</v>
      </c>
      <c r="I38" s="2">
        <v>9.5</v>
      </c>
      <c r="J38" s="7">
        <v>9.75</v>
      </c>
      <c r="K38" s="8">
        <v>16.8</v>
      </c>
      <c r="L38" s="58">
        <f t="shared" si="6"/>
        <v>0.3672316384180791</v>
      </c>
      <c r="M38">
        <f t="shared" si="7"/>
        <v>26.55</v>
      </c>
      <c r="N38">
        <v>40.4</v>
      </c>
    </row>
    <row r="39" spans="2:14" x14ac:dyDescent="0.25">
      <c r="B39" s="145"/>
      <c r="C39" s="33">
        <v>8</v>
      </c>
      <c r="D39" s="82"/>
      <c r="E39" s="122" t="s">
        <v>137</v>
      </c>
      <c r="F39" s="2">
        <v>3.02</v>
      </c>
      <c r="G39" s="130" t="s">
        <v>13</v>
      </c>
      <c r="H39" s="130" t="s">
        <v>13</v>
      </c>
      <c r="I39" s="2">
        <v>8.5</v>
      </c>
      <c r="J39" s="7">
        <v>3.02</v>
      </c>
      <c r="K39" s="8">
        <v>25.9</v>
      </c>
      <c r="L39" s="58">
        <f t="shared" si="6"/>
        <v>0.10442600276625173</v>
      </c>
      <c r="M39">
        <f t="shared" si="7"/>
        <v>28.919999999999998</v>
      </c>
      <c r="N39">
        <v>40.700000000000003</v>
      </c>
    </row>
    <row r="40" spans="2:14" x14ac:dyDescent="0.25">
      <c r="B40" s="145"/>
      <c r="C40" s="33">
        <v>9</v>
      </c>
      <c r="D40" s="82"/>
      <c r="E40" s="122" t="s">
        <v>138</v>
      </c>
      <c r="F40" s="131">
        <v>3.75</v>
      </c>
      <c r="G40" s="130" t="s">
        <v>13</v>
      </c>
      <c r="H40" s="130" t="s">
        <v>13</v>
      </c>
      <c r="I40" s="2">
        <v>8.5</v>
      </c>
      <c r="J40" s="7">
        <v>3.75</v>
      </c>
      <c r="K40" s="8">
        <v>25.9</v>
      </c>
      <c r="L40" s="58">
        <f t="shared" si="6"/>
        <v>0.12647554806070826</v>
      </c>
      <c r="M40">
        <f t="shared" si="7"/>
        <v>29.65</v>
      </c>
      <c r="N40">
        <v>40</v>
      </c>
    </row>
    <row r="41" spans="2:14" x14ac:dyDescent="0.25">
      <c r="B41" s="145"/>
      <c r="C41" s="33">
        <v>10</v>
      </c>
      <c r="D41" s="82"/>
      <c r="E41" s="122" t="s">
        <v>139</v>
      </c>
      <c r="F41" s="131">
        <v>3.75</v>
      </c>
      <c r="G41" s="130" t="s">
        <v>13</v>
      </c>
      <c r="H41" s="130" t="s">
        <v>13</v>
      </c>
      <c r="I41" s="2">
        <v>8.5</v>
      </c>
      <c r="J41" s="7">
        <v>3.75</v>
      </c>
      <c r="K41" s="8">
        <v>25.9</v>
      </c>
      <c r="L41" s="58">
        <f t="shared" si="6"/>
        <v>0.12647554806070826</v>
      </c>
      <c r="M41">
        <f t="shared" si="7"/>
        <v>29.65</v>
      </c>
      <c r="N41">
        <v>40</v>
      </c>
    </row>
    <row r="42" spans="2:14" x14ac:dyDescent="0.25">
      <c r="B42" s="145"/>
      <c r="C42" s="33">
        <v>11</v>
      </c>
      <c r="D42" s="82"/>
      <c r="E42" s="122" t="s">
        <v>140</v>
      </c>
      <c r="F42" s="131">
        <v>3.75</v>
      </c>
      <c r="G42" s="130" t="s">
        <v>13</v>
      </c>
      <c r="H42" s="130" t="s">
        <v>13</v>
      </c>
      <c r="I42" s="2">
        <v>6.56</v>
      </c>
      <c r="J42" s="7">
        <v>3.75</v>
      </c>
      <c r="K42" s="8">
        <v>23</v>
      </c>
      <c r="L42" s="58">
        <f t="shared" si="6"/>
        <v>0.14018691588785046</v>
      </c>
      <c r="M42">
        <f t="shared" si="7"/>
        <v>26.75</v>
      </c>
      <c r="N42">
        <v>40</v>
      </c>
    </row>
    <row r="43" spans="2:14" x14ac:dyDescent="0.25">
      <c r="B43" s="145"/>
      <c r="C43" s="33">
        <v>12</v>
      </c>
      <c r="D43" s="82"/>
      <c r="E43" s="122" t="s">
        <v>141</v>
      </c>
      <c r="F43" s="2">
        <v>3.02</v>
      </c>
      <c r="G43" s="130" t="s">
        <v>13</v>
      </c>
      <c r="H43" s="130" t="s">
        <v>13</v>
      </c>
      <c r="I43" s="2">
        <v>8.5</v>
      </c>
      <c r="J43" s="7">
        <v>3.75</v>
      </c>
      <c r="K43" s="8">
        <v>23</v>
      </c>
      <c r="L43" s="58">
        <f t="shared" si="6"/>
        <v>0.14018691588785046</v>
      </c>
      <c r="M43">
        <f t="shared" si="7"/>
        <v>26.75</v>
      </c>
      <c r="N43">
        <v>40</v>
      </c>
    </row>
    <row r="44" spans="2:14" x14ac:dyDescent="0.25">
      <c r="B44" s="145"/>
      <c r="C44" s="33">
        <v>13</v>
      </c>
      <c r="D44" s="82"/>
      <c r="E44" s="122" t="s">
        <v>142</v>
      </c>
      <c r="F44" s="131">
        <v>3.75</v>
      </c>
      <c r="G44" s="130" t="s">
        <v>13</v>
      </c>
      <c r="H44" s="130" t="s">
        <v>13</v>
      </c>
      <c r="I44" s="2">
        <v>8.5</v>
      </c>
      <c r="J44" s="7">
        <v>3.75</v>
      </c>
      <c r="K44" s="8">
        <v>23</v>
      </c>
      <c r="L44" s="58">
        <f t="shared" si="6"/>
        <v>0.14018691588785046</v>
      </c>
      <c r="M44">
        <f t="shared" si="7"/>
        <v>26.75</v>
      </c>
      <c r="N44">
        <v>40</v>
      </c>
    </row>
    <row r="45" spans="2:14" x14ac:dyDescent="0.25">
      <c r="B45" s="145"/>
      <c r="C45" s="33">
        <v>14</v>
      </c>
      <c r="D45" s="82"/>
      <c r="E45" s="122" t="s">
        <v>143</v>
      </c>
      <c r="F45" s="2">
        <v>3.02</v>
      </c>
      <c r="G45" s="130" t="s">
        <v>13</v>
      </c>
      <c r="H45" s="130" t="s">
        <v>13</v>
      </c>
      <c r="I45" s="2">
        <v>8.5</v>
      </c>
      <c r="J45" s="7">
        <v>4.0199999999999996</v>
      </c>
      <c r="K45" s="8">
        <v>9.5</v>
      </c>
      <c r="L45" s="58">
        <f t="shared" si="6"/>
        <v>0.29733727810650884</v>
      </c>
      <c r="M45">
        <f t="shared" si="7"/>
        <v>13.52</v>
      </c>
      <c r="N45">
        <v>40</v>
      </c>
    </row>
    <row r="46" spans="2:14" x14ac:dyDescent="0.25">
      <c r="B46" s="145"/>
      <c r="C46" s="33">
        <v>15</v>
      </c>
      <c r="D46" s="82"/>
      <c r="E46" s="122" t="s">
        <v>144</v>
      </c>
      <c r="F46" s="131">
        <v>3.75</v>
      </c>
      <c r="G46" s="130" t="s">
        <v>13</v>
      </c>
      <c r="H46" s="130" t="s">
        <v>13</v>
      </c>
      <c r="I46" s="2">
        <v>8.5</v>
      </c>
      <c r="J46" s="7">
        <v>4.0199999999999996</v>
      </c>
      <c r="K46" s="8">
        <v>9.5</v>
      </c>
      <c r="L46" s="58">
        <f t="shared" si="6"/>
        <v>0.29733727810650884</v>
      </c>
      <c r="M46">
        <f t="shared" si="7"/>
        <v>13.52</v>
      </c>
      <c r="N46">
        <v>40</v>
      </c>
    </row>
    <row r="47" spans="2:14" x14ac:dyDescent="0.25">
      <c r="B47" s="145"/>
      <c r="C47" s="33">
        <v>16</v>
      </c>
      <c r="D47" s="82"/>
      <c r="E47" s="122" t="s">
        <v>145</v>
      </c>
      <c r="F47" s="2">
        <v>3.02</v>
      </c>
      <c r="G47" s="130" t="s">
        <v>13</v>
      </c>
      <c r="H47" s="130" t="s">
        <v>13</v>
      </c>
      <c r="I47" s="2">
        <v>8.5</v>
      </c>
      <c r="J47" s="7">
        <v>4.0199999999999996</v>
      </c>
      <c r="K47" s="8">
        <v>9.5</v>
      </c>
      <c r="L47" s="58">
        <f t="shared" si="6"/>
        <v>0.29733727810650884</v>
      </c>
      <c r="M47">
        <f t="shared" si="7"/>
        <v>13.52</v>
      </c>
      <c r="N47">
        <v>42.2</v>
      </c>
    </row>
    <row r="48" spans="2:14" x14ac:dyDescent="0.25">
      <c r="B48" s="145"/>
      <c r="C48" s="33">
        <v>17</v>
      </c>
      <c r="D48" s="82"/>
      <c r="E48" s="122" t="s">
        <v>146</v>
      </c>
      <c r="F48" s="131">
        <v>3.75</v>
      </c>
      <c r="G48" s="130" t="s">
        <v>13</v>
      </c>
      <c r="H48" s="130" t="s">
        <v>13</v>
      </c>
      <c r="I48" s="2">
        <v>8.5</v>
      </c>
      <c r="J48" s="7">
        <v>4.0199999999999996</v>
      </c>
      <c r="K48" s="8">
        <v>9.5</v>
      </c>
      <c r="L48" s="58">
        <f t="shared" si="6"/>
        <v>0.29733727810650884</v>
      </c>
      <c r="M48">
        <f t="shared" si="7"/>
        <v>13.52</v>
      </c>
      <c r="N48">
        <v>42.2</v>
      </c>
    </row>
    <row r="49" spans="2:15" x14ac:dyDescent="0.25">
      <c r="B49" s="145"/>
      <c r="C49" s="33">
        <v>18</v>
      </c>
      <c r="D49" s="82"/>
      <c r="E49" s="122" t="s">
        <v>147</v>
      </c>
      <c r="F49" s="131">
        <v>3.75</v>
      </c>
      <c r="G49" s="130" t="s">
        <v>13</v>
      </c>
      <c r="H49" s="130" t="s">
        <v>13</v>
      </c>
      <c r="I49" s="2">
        <v>9.5</v>
      </c>
      <c r="J49" s="7">
        <v>3.75</v>
      </c>
      <c r="K49" s="8">
        <v>11.8</v>
      </c>
      <c r="L49" s="58">
        <f t="shared" si="6"/>
        <v>0.24115755627009644</v>
      </c>
      <c r="M49">
        <f t="shared" si="7"/>
        <v>15.55</v>
      </c>
      <c r="N49">
        <v>37.799999999999997</v>
      </c>
    </row>
    <row r="50" spans="2:15" x14ac:dyDescent="0.25">
      <c r="B50" s="145"/>
      <c r="C50" s="33">
        <v>19</v>
      </c>
      <c r="D50" s="82"/>
      <c r="E50" s="124" t="s">
        <v>148</v>
      </c>
      <c r="F50" s="131">
        <v>3.75</v>
      </c>
      <c r="G50" s="130" t="s">
        <v>13</v>
      </c>
      <c r="H50" s="130" t="s">
        <v>13</v>
      </c>
      <c r="I50" s="2">
        <v>9.5</v>
      </c>
      <c r="J50" s="7">
        <v>3.75</v>
      </c>
      <c r="K50" s="8">
        <v>11.8</v>
      </c>
      <c r="L50" s="58">
        <f t="shared" si="6"/>
        <v>0.24115755627009644</v>
      </c>
      <c r="M50">
        <f t="shared" si="7"/>
        <v>15.55</v>
      </c>
      <c r="N50">
        <v>37.799999999999997</v>
      </c>
    </row>
    <row r="51" spans="2:15" x14ac:dyDescent="0.25">
      <c r="B51" s="145"/>
      <c r="C51" s="33">
        <v>20</v>
      </c>
      <c r="D51" s="82"/>
      <c r="E51" s="122" t="s">
        <v>149</v>
      </c>
      <c r="F51" s="131">
        <v>2.36</v>
      </c>
      <c r="G51" s="130" t="s">
        <v>13</v>
      </c>
      <c r="H51" s="130" t="s">
        <v>13</v>
      </c>
      <c r="I51" s="2">
        <v>9.5</v>
      </c>
      <c r="J51" s="7">
        <v>2.36</v>
      </c>
      <c r="K51" s="8">
        <v>11.8</v>
      </c>
      <c r="L51" s="58">
        <f t="shared" si="6"/>
        <v>0.16666666666666666</v>
      </c>
      <c r="M51">
        <f t="shared" si="7"/>
        <v>14.16</v>
      </c>
      <c r="N51">
        <v>37.799999999999997</v>
      </c>
    </row>
    <row r="52" spans="2:15" x14ac:dyDescent="0.25">
      <c r="B52" s="146"/>
      <c r="C52" s="152" t="s">
        <v>35</v>
      </c>
      <c r="D52" s="152"/>
      <c r="E52" s="152"/>
      <c r="F52" s="103">
        <f>COUNTIF(F32:F51,"O ")</f>
        <v>0</v>
      </c>
      <c r="G52" s="103">
        <f>COUNTIF(G32:G51,"O ")</f>
        <v>0</v>
      </c>
      <c r="H52" s="103">
        <f>COUNTIF(H32:H51,"O ")</f>
        <v>0</v>
      </c>
      <c r="I52" s="41">
        <f>COUNTIF(I32:I51,"O ")</f>
        <v>0</v>
      </c>
      <c r="J52" s="48">
        <f>SUM(J32:J51)</f>
        <v>73.739999999999981</v>
      </c>
      <c r="K52" s="49">
        <f>SUM(K40:K51)</f>
        <v>194.20000000000005</v>
      </c>
      <c r="M52" s="90"/>
      <c r="N52" s="90"/>
    </row>
    <row r="53" spans="2:15" ht="15.75" thickBot="1" x14ac:dyDescent="0.3">
      <c r="B53" s="147"/>
      <c r="C53" s="153"/>
      <c r="D53" s="153"/>
      <c r="E53" s="153"/>
      <c r="F53" s="104">
        <f>COUNTIF(F32:F51,"X")</f>
        <v>0</v>
      </c>
      <c r="G53" s="104">
        <f>COUNTIF(G32:G51,"X")</f>
        <v>0</v>
      </c>
      <c r="H53" s="104">
        <f>COUNTIF(H32:H51,"X")</f>
        <v>0</v>
      </c>
      <c r="I53" s="43">
        <f>COUNTIF(I32:I51,"X")</f>
        <v>0</v>
      </c>
      <c r="J53" s="44">
        <f>J52/(J52+K52)</f>
        <v>0.27521086810479944</v>
      </c>
      <c r="K53" s="45">
        <f>K52/(K52+J52)</f>
        <v>0.72478913189520044</v>
      </c>
      <c r="M53" s="90">
        <f>SUM(M7:M52)</f>
        <v>840.93999999999983</v>
      </c>
      <c r="N53" s="90">
        <f>SUM(N7:N52)</f>
        <v>1802.7300000000005</v>
      </c>
      <c r="O53" s="190"/>
    </row>
  </sheetData>
  <mergeCells count="11">
    <mergeCell ref="C30:E31"/>
    <mergeCell ref="B32:B53"/>
    <mergeCell ref="B7:B31"/>
    <mergeCell ref="C52:E53"/>
    <mergeCell ref="K4:K6"/>
    <mergeCell ref="F5:H5"/>
    <mergeCell ref="B4:B6"/>
    <mergeCell ref="C4:C6"/>
    <mergeCell ref="D4:E6"/>
    <mergeCell ref="F4:I4"/>
    <mergeCell ref="J4:J6"/>
  </mergeCells>
  <conditionalFormatting sqref="L7:L30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{0564251E-1967-441B-B1A1-7C615ECF6333}</x14:id>
        </ext>
      </extLst>
    </cfRule>
  </conditionalFormatting>
  <conditionalFormatting sqref="L32:L5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{9AA039C0-6720-4A25-963F-6445E4BE4363}</x14:id>
        </ext>
      </extLst>
    </cfRule>
  </conditionalFormatting>
  <pageMargins left="0.7" right="0.7" top="0.75" bottom="0.75" header="0.3" footer="0.3"/>
  <pageSetup scale="50" orientation="landscape" horizontalDpi="4294967293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64251E-1967-441B-B1A1-7C615ECF63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L7:L30</xm:sqref>
        </x14:conditionalFormatting>
        <x14:conditionalFormatting xmlns:xm="http://schemas.microsoft.com/office/excel/2006/main">
          <x14:cfRule type="dataBar" id="{9AA039C0-6720-4A25-963F-6445E4BE43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L32:L51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E18F-8204-451B-B4A9-DA03083392C8}">
  <dimension ref="B2:N21"/>
  <sheetViews>
    <sheetView tabSelected="1" zoomScale="71" zoomScaleNormal="71" workbookViewId="0">
      <selection activeCell="R35" sqref="R35"/>
    </sheetView>
  </sheetViews>
  <sheetFormatPr defaultRowHeight="15" x14ac:dyDescent="0.25"/>
  <cols>
    <col min="1" max="1" width="3.28515625" customWidth="1"/>
    <col min="2" max="2" width="13.140625" customWidth="1"/>
    <col min="3" max="4" width="5.140625" style="1" customWidth="1"/>
    <col min="5" max="5" width="15.140625" style="1" customWidth="1"/>
    <col min="6" max="9" width="13.42578125" style="1" customWidth="1"/>
    <col min="10" max="10" width="12.85546875" customWidth="1"/>
    <col min="11" max="11" width="18.28515625" customWidth="1"/>
    <col min="12" max="12" width="26.42578125" customWidth="1"/>
  </cols>
  <sheetData>
    <row r="2" spans="2:14" ht="25.5" x14ac:dyDescent="0.35">
      <c r="B2" s="27" t="s">
        <v>83</v>
      </c>
    </row>
    <row r="3" spans="2:14" ht="15.75" thickBot="1" x14ac:dyDescent="0.3">
      <c r="B3" s="26"/>
    </row>
    <row r="4" spans="2:14" x14ac:dyDescent="0.25">
      <c r="B4" s="163" t="s">
        <v>38</v>
      </c>
      <c r="C4" s="166" t="s">
        <v>0</v>
      </c>
      <c r="D4" s="178" t="s">
        <v>1</v>
      </c>
      <c r="E4" s="179"/>
      <c r="F4" s="169"/>
      <c r="G4" s="169"/>
      <c r="H4" s="169"/>
      <c r="I4" s="170"/>
      <c r="J4" s="184" t="s">
        <v>4</v>
      </c>
      <c r="K4" s="174" t="s">
        <v>81</v>
      </c>
    </row>
    <row r="5" spans="2:14" x14ac:dyDescent="0.25">
      <c r="B5" s="164"/>
      <c r="C5" s="167"/>
      <c r="D5" s="180"/>
      <c r="E5" s="181"/>
      <c r="F5" s="177" t="s">
        <v>4</v>
      </c>
      <c r="G5" s="177"/>
      <c r="H5" s="177"/>
      <c r="I5" s="9" t="s">
        <v>5</v>
      </c>
      <c r="J5" s="185"/>
      <c r="K5" s="175"/>
    </row>
    <row r="6" spans="2:14" ht="29.25" customHeight="1" thickBot="1" x14ac:dyDescent="0.3">
      <c r="B6" s="165"/>
      <c r="C6" s="168"/>
      <c r="D6" s="182"/>
      <c r="E6" s="183"/>
      <c r="F6" s="56" t="s">
        <v>8</v>
      </c>
      <c r="G6" s="55" t="s">
        <v>43</v>
      </c>
      <c r="H6" s="56" t="s">
        <v>9</v>
      </c>
      <c r="I6" s="18" t="s">
        <v>44</v>
      </c>
      <c r="J6" s="186"/>
      <c r="K6" s="176"/>
      <c r="L6" s="57" t="s">
        <v>75</v>
      </c>
      <c r="M6" t="s">
        <v>78</v>
      </c>
      <c r="N6" s="89" t="s">
        <v>79</v>
      </c>
    </row>
    <row r="7" spans="2:14" x14ac:dyDescent="0.25">
      <c r="B7" s="187" t="s">
        <v>88</v>
      </c>
      <c r="C7" s="74">
        <v>1</v>
      </c>
      <c r="D7" s="77"/>
      <c r="E7" s="121" t="s">
        <v>150</v>
      </c>
      <c r="F7" s="14">
        <v>4.0199999999999996</v>
      </c>
      <c r="G7" s="13" t="s">
        <v>13</v>
      </c>
      <c r="H7" s="13" t="s">
        <v>13</v>
      </c>
      <c r="I7" s="129">
        <v>9.5299999999999994</v>
      </c>
      <c r="J7" s="16">
        <v>4.0199999999999996</v>
      </c>
      <c r="K7" s="17">
        <v>11.83</v>
      </c>
      <c r="L7" s="58">
        <f t="shared" ref="L7:L20" si="0">J7/(J7+K7)</f>
        <v>0.25362776025236589</v>
      </c>
      <c r="M7">
        <f>J7+K7</f>
        <v>15.85</v>
      </c>
      <c r="N7">
        <v>50</v>
      </c>
    </row>
    <row r="8" spans="2:14" x14ac:dyDescent="0.25">
      <c r="B8" s="188"/>
      <c r="C8" s="75">
        <v>2</v>
      </c>
      <c r="D8" s="78"/>
      <c r="E8" s="122" t="s">
        <v>151</v>
      </c>
      <c r="F8" s="130" t="s">
        <v>13</v>
      </c>
      <c r="G8" s="131">
        <v>4.0199999999999996</v>
      </c>
      <c r="H8" s="118" t="s">
        <v>13</v>
      </c>
      <c r="I8" s="128">
        <v>9.5</v>
      </c>
      <c r="J8" s="7">
        <v>3.75</v>
      </c>
      <c r="K8" s="8">
        <v>19.98</v>
      </c>
      <c r="L8" s="58">
        <f t="shared" si="0"/>
        <v>0.15802781289506954</v>
      </c>
      <c r="M8">
        <f t="shared" ref="M8:M19" si="1">J8+K8</f>
        <v>23.73</v>
      </c>
      <c r="N8">
        <v>94</v>
      </c>
    </row>
    <row r="9" spans="2:14" x14ac:dyDescent="0.25">
      <c r="B9" s="188"/>
      <c r="C9" s="75">
        <v>3</v>
      </c>
      <c r="D9" s="78"/>
      <c r="E9" s="122" t="s">
        <v>152</v>
      </c>
      <c r="F9" s="118" t="s">
        <v>13</v>
      </c>
      <c r="G9" s="119">
        <v>4.0199999999999996</v>
      </c>
      <c r="H9" s="107" t="s">
        <v>13</v>
      </c>
      <c r="I9" s="2">
        <v>8.5</v>
      </c>
      <c r="J9" s="7">
        <v>3.75</v>
      </c>
      <c r="K9" s="8">
        <v>19.98</v>
      </c>
      <c r="L9" s="58">
        <f t="shared" si="0"/>
        <v>0.15802781289506954</v>
      </c>
      <c r="M9">
        <f t="shared" si="1"/>
        <v>23.73</v>
      </c>
      <c r="N9">
        <v>94</v>
      </c>
    </row>
    <row r="10" spans="2:14" x14ac:dyDescent="0.25">
      <c r="B10" s="188"/>
      <c r="C10" s="75">
        <v>4</v>
      </c>
      <c r="D10" s="78"/>
      <c r="E10" s="122" t="s">
        <v>153</v>
      </c>
      <c r="F10" s="107" t="s">
        <v>13</v>
      </c>
      <c r="G10" s="107" t="s">
        <v>13</v>
      </c>
      <c r="H10" s="108">
        <v>3.75</v>
      </c>
      <c r="I10" s="126">
        <v>8.5</v>
      </c>
      <c r="J10" s="7">
        <v>3.75</v>
      </c>
      <c r="K10" s="8">
        <v>19.98</v>
      </c>
      <c r="L10" s="58">
        <f t="shared" si="0"/>
        <v>0.15802781289506954</v>
      </c>
      <c r="M10">
        <f t="shared" si="1"/>
        <v>23.73</v>
      </c>
      <c r="N10">
        <v>61.7</v>
      </c>
    </row>
    <row r="11" spans="2:14" x14ac:dyDescent="0.25">
      <c r="B11" s="188"/>
      <c r="C11" s="75">
        <v>5</v>
      </c>
      <c r="D11" s="78"/>
      <c r="E11" s="122" t="s">
        <v>154</v>
      </c>
      <c r="F11" s="118" t="s">
        <v>13</v>
      </c>
      <c r="G11" s="119">
        <v>4.0199999999999996</v>
      </c>
      <c r="H11" s="118" t="s">
        <v>13</v>
      </c>
      <c r="I11" s="128">
        <v>9.5</v>
      </c>
      <c r="J11" s="7">
        <v>3.75</v>
      </c>
      <c r="K11" s="8">
        <v>16.98</v>
      </c>
      <c r="L11" s="58">
        <f t="shared" si="0"/>
        <v>0.18089725036179449</v>
      </c>
      <c r="M11">
        <f t="shared" si="1"/>
        <v>20.73</v>
      </c>
      <c r="N11">
        <v>55.2</v>
      </c>
    </row>
    <row r="12" spans="2:14" x14ac:dyDescent="0.25">
      <c r="B12" s="188"/>
      <c r="C12" s="75">
        <v>6</v>
      </c>
      <c r="D12" s="78"/>
      <c r="E12" s="122" t="s">
        <v>155</v>
      </c>
      <c r="F12" s="2">
        <v>3.02</v>
      </c>
      <c r="G12" s="107" t="s">
        <v>13</v>
      </c>
      <c r="H12" s="107" t="s">
        <v>13</v>
      </c>
      <c r="I12" s="2">
        <v>8.5</v>
      </c>
      <c r="J12" s="7">
        <v>3.75</v>
      </c>
      <c r="K12" s="8">
        <v>16.98</v>
      </c>
      <c r="L12" s="58">
        <f t="shared" si="0"/>
        <v>0.18089725036179449</v>
      </c>
      <c r="M12">
        <f t="shared" si="1"/>
        <v>20.73</v>
      </c>
      <c r="N12">
        <v>47.5</v>
      </c>
    </row>
    <row r="13" spans="2:14" x14ac:dyDescent="0.25">
      <c r="B13" s="188"/>
      <c r="C13" s="75">
        <v>7</v>
      </c>
      <c r="D13" s="78"/>
      <c r="E13" s="122" t="s">
        <v>156</v>
      </c>
      <c r="F13" s="2">
        <v>3.02</v>
      </c>
      <c r="G13" s="107" t="s">
        <v>13</v>
      </c>
      <c r="H13" s="130" t="s">
        <v>13</v>
      </c>
      <c r="I13" s="2">
        <v>8.5</v>
      </c>
      <c r="J13" s="7">
        <v>3.75</v>
      </c>
      <c r="K13" s="8">
        <v>16.98</v>
      </c>
      <c r="L13" s="58">
        <f t="shared" si="0"/>
        <v>0.18089725036179449</v>
      </c>
      <c r="M13">
        <f t="shared" si="1"/>
        <v>20.73</v>
      </c>
      <c r="N13">
        <v>47.5</v>
      </c>
    </row>
    <row r="14" spans="2:14" x14ac:dyDescent="0.25">
      <c r="B14" s="188"/>
      <c r="C14" s="75">
        <v>8</v>
      </c>
      <c r="D14" s="79"/>
      <c r="E14" s="122" t="s">
        <v>157</v>
      </c>
      <c r="F14" s="2">
        <v>3.02</v>
      </c>
      <c r="G14" s="107" t="s">
        <v>13</v>
      </c>
      <c r="H14" s="107" t="s">
        <v>13</v>
      </c>
      <c r="I14" s="2">
        <v>8.5</v>
      </c>
      <c r="J14" s="7">
        <v>3.2</v>
      </c>
      <c r="K14" s="8">
        <v>9.1</v>
      </c>
      <c r="L14" s="58">
        <f t="shared" si="0"/>
        <v>0.26016260162601623</v>
      </c>
      <c r="M14">
        <f t="shared" si="1"/>
        <v>12.3</v>
      </c>
      <c r="N14">
        <v>45.1</v>
      </c>
    </row>
    <row r="15" spans="2:14" x14ac:dyDescent="0.25">
      <c r="B15" s="188"/>
      <c r="C15" s="75">
        <v>9</v>
      </c>
      <c r="D15" s="79"/>
      <c r="E15" s="122" t="s">
        <v>158</v>
      </c>
      <c r="F15" s="2">
        <v>3.02</v>
      </c>
      <c r="G15" s="107" t="s">
        <v>13</v>
      </c>
      <c r="H15" s="130" t="s">
        <v>13</v>
      </c>
      <c r="I15" s="126">
        <v>8.5</v>
      </c>
      <c r="J15" s="7">
        <v>3.2</v>
      </c>
      <c r="K15" s="8">
        <v>9.1</v>
      </c>
      <c r="L15" s="58">
        <f t="shared" si="0"/>
        <v>0.26016260162601623</v>
      </c>
      <c r="M15">
        <f t="shared" si="1"/>
        <v>12.3</v>
      </c>
      <c r="N15">
        <v>45.1</v>
      </c>
    </row>
    <row r="16" spans="2:14" x14ac:dyDescent="0.25">
      <c r="B16" s="188"/>
      <c r="C16" s="75">
        <v>10</v>
      </c>
      <c r="D16" s="79"/>
      <c r="E16" s="122" t="s">
        <v>159</v>
      </c>
      <c r="F16" s="2">
        <v>3.02</v>
      </c>
      <c r="G16" s="130" t="s">
        <v>13</v>
      </c>
      <c r="H16" s="130" t="s">
        <v>13</v>
      </c>
      <c r="I16" s="128">
        <v>9.5</v>
      </c>
      <c r="J16" s="7">
        <v>3.2</v>
      </c>
      <c r="K16" s="8">
        <v>14.2</v>
      </c>
      <c r="L16" s="58">
        <f t="shared" si="0"/>
        <v>0.18390804597701152</v>
      </c>
      <c r="M16">
        <f t="shared" si="1"/>
        <v>17.399999999999999</v>
      </c>
      <c r="N16" s="98">
        <v>44.2</v>
      </c>
    </row>
    <row r="17" spans="2:14" x14ac:dyDescent="0.25">
      <c r="B17" s="188"/>
      <c r="C17" s="75">
        <v>11</v>
      </c>
      <c r="D17" s="79"/>
      <c r="E17" s="122" t="s">
        <v>160</v>
      </c>
      <c r="F17" s="2">
        <v>3.02</v>
      </c>
      <c r="G17" s="107" t="s">
        <v>13</v>
      </c>
      <c r="H17" s="130" t="s">
        <v>13</v>
      </c>
      <c r="I17" s="2">
        <v>8.5</v>
      </c>
      <c r="J17" s="7">
        <v>9.1</v>
      </c>
      <c r="K17" s="8">
        <v>14.2</v>
      </c>
      <c r="L17" s="58">
        <f t="shared" si="0"/>
        <v>0.3905579399141631</v>
      </c>
      <c r="M17">
        <f t="shared" si="1"/>
        <v>23.299999999999997</v>
      </c>
      <c r="N17" s="98">
        <v>39.200000000000003</v>
      </c>
    </row>
    <row r="18" spans="2:14" x14ac:dyDescent="0.25">
      <c r="B18" s="188"/>
      <c r="C18" s="75">
        <v>12</v>
      </c>
      <c r="D18" s="79"/>
      <c r="E18" s="122" t="s">
        <v>161</v>
      </c>
      <c r="F18" s="2">
        <v>3.02</v>
      </c>
      <c r="G18" s="107" t="s">
        <v>13</v>
      </c>
      <c r="H18" s="130" t="s">
        <v>13</v>
      </c>
      <c r="I18" s="2">
        <v>8.5</v>
      </c>
      <c r="J18" s="7">
        <v>9.1</v>
      </c>
      <c r="K18" s="8">
        <v>14.2</v>
      </c>
      <c r="L18" s="58">
        <f t="shared" si="0"/>
        <v>0.3905579399141631</v>
      </c>
      <c r="M18">
        <f t="shared" si="1"/>
        <v>23.299999999999997</v>
      </c>
      <c r="N18" s="98">
        <v>44.2</v>
      </c>
    </row>
    <row r="19" spans="2:14" x14ac:dyDescent="0.25">
      <c r="B19" s="188"/>
      <c r="C19" s="75">
        <v>13</v>
      </c>
      <c r="D19" s="79"/>
      <c r="E19" s="75"/>
      <c r="F19" s="110"/>
      <c r="G19" s="107"/>
      <c r="H19" s="107"/>
      <c r="I19" s="109"/>
      <c r="J19" s="7"/>
      <c r="K19" s="8"/>
      <c r="L19" s="58"/>
      <c r="M19">
        <f t="shared" si="1"/>
        <v>0</v>
      </c>
      <c r="N19">
        <v>0</v>
      </c>
    </row>
    <row r="20" spans="2:14" x14ac:dyDescent="0.25">
      <c r="B20" s="188"/>
      <c r="C20" s="157" t="s">
        <v>35</v>
      </c>
      <c r="D20" s="157"/>
      <c r="E20" s="158"/>
      <c r="F20" s="103">
        <f>COUNTIF(F7:F19,"O ")</f>
        <v>0</v>
      </c>
      <c r="G20" s="103">
        <f>COUNTIF(G7:G19,"O ")</f>
        <v>0</v>
      </c>
      <c r="H20" s="103">
        <f>COUNTIF(H7:H19,"O ")</f>
        <v>0</v>
      </c>
      <c r="I20" s="41">
        <f>COUNTIF(I7:I19,"O ")</f>
        <v>0</v>
      </c>
      <c r="J20" s="50">
        <f>SUM(J7:J19)</f>
        <v>54.320000000000007</v>
      </c>
      <c r="K20" s="51">
        <f>SUM(K7:K19)</f>
        <v>183.51</v>
      </c>
      <c r="L20" s="58">
        <f t="shared" si="0"/>
        <v>0.22839843585754535</v>
      </c>
      <c r="M20" s="90"/>
      <c r="N20" s="90"/>
    </row>
    <row r="21" spans="2:14" ht="15.75" thickBot="1" x14ac:dyDescent="0.3">
      <c r="B21" s="189"/>
      <c r="C21" s="160"/>
      <c r="D21" s="160"/>
      <c r="E21" s="161"/>
      <c r="F21" s="104">
        <f>COUNTIF(F7:F19,"X")</f>
        <v>0</v>
      </c>
      <c r="G21" s="104">
        <f>COUNTIF(G7:G19,"X")</f>
        <v>0</v>
      </c>
      <c r="H21" s="104">
        <f>COUNTIF(H7:H19,"X")</f>
        <v>0</v>
      </c>
      <c r="I21" s="43">
        <f>COUNTIF(I7:I19,"X")</f>
        <v>0</v>
      </c>
      <c r="J21" s="46">
        <f>J20/(J20+K20)</f>
        <v>0.22839843585754535</v>
      </c>
      <c r="K21" s="47">
        <f>K20/(K20+J20)</f>
        <v>0.77160156414245473</v>
      </c>
      <c r="M21" s="90">
        <f>M20+M19+M18+M17+M16+M15+M14+M13+M12+M11+M10+M9+M8+M7</f>
        <v>237.82999999999996</v>
      </c>
      <c r="N21" s="90">
        <f>N20+N19+N18+N17+N16+N15+N14+N13+N12+N11+N10+N9+N8+N7</f>
        <v>667.7</v>
      </c>
    </row>
  </sheetData>
  <mergeCells count="9">
    <mergeCell ref="B7:B21"/>
    <mergeCell ref="C20:E21"/>
    <mergeCell ref="K4:K6"/>
    <mergeCell ref="F5:H5"/>
    <mergeCell ref="B4:B6"/>
    <mergeCell ref="C4:C6"/>
    <mergeCell ref="D4:E6"/>
    <mergeCell ref="F4:I4"/>
    <mergeCell ref="J4:J6"/>
  </mergeCells>
  <conditionalFormatting sqref="L7:L20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{0A1C1300-BFEA-4F14-9A11-1065BF316BF1}</x14:id>
        </ext>
      </extLst>
    </cfRule>
  </conditionalFormatting>
  <pageMargins left="0.7" right="0.7" top="0.75" bottom="0.75" header="0.3" footer="0.3"/>
  <pageSetup scale="50" orientation="landscape" horizontalDpi="4294967293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1C1300-BFEA-4F14-9A11-1065BF316BF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L7:L20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Process COND</vt:lpstr>
      <vt:lpstr>Process COND (2)</vt:lpstr>
      <vt:lpstr>Manpower</vt:lpstr>
      <vt:lpstr>Process COND (3)</vt:lpstr>
      <vt:lpstr>Process COND (4)</vt:lpstr>
      <vt:lpstr>Process COND (5)</vt:lpstr>
      <vt:lpstr>Process COND (6)</vt:lpstr>
      <vt:lpstr>Process COND (7)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MR.SIRIROJ SRIPATHANAPORN</dc:creator>
  <cp:lastModifiedBy>sudarat653</cp:lastModifiedBy>
  <cp:lastPrinted>2025-08-26T02:16:11Z</cp:lastPrinted>
  <dcterms:created xsi:type="dcterms:W3CDTF">2025-07-04T01:04:36Z</dcterms:created>
  <dcterms:modified xsi:type="dcterms:W3CDTF">2025-11-04T09:48:48Z</dcterms:modified>
</cp:coreProperties>
</file>